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han\Documents\R\ScHARR-open-science-workshop\content\resources\1-intro_Markov_model\"/>
    </mc:Choice>
  </mc:AlternateContent>
  <bookViews>
    <workbookView xWindow="1560" yWindow="1035" windowWidth="14700" windowHeight="14550" activeTab="1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  <sheet name="Model Figure" sheetId="30" r:id="rId7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ncycle">'Markov Model'!$A$5:$A$50</definedName>
    <definedName name="nDeath">'Markov Model'!#REF!</definedName>
    <definedName name="oDR">'Parameters and Analysis'!$B$18</definedName>
    <definedName name="rDeath">'Markov Model'!$B$5:$B$51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8" i="1" l="1"/>
  <c r="H38" i="1"/>
  <c r="E90" i="5"/>
  <c r="D90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69" i="5"/>
  <c r="AB6" i="5"/>
  <c r="T6" i="5"/>
  <c r="S6" i="5"/>
  <c r="AB7" i="5" s="1"/>
  <c r="N6" i="5"/>
  <c r="F6" i="5"/>
  <c r="E6" i="5"/>
  <c r="N7" i="5" s="1"/>
  <c r="H69" i="5"/>
  <c r="I69" i="5"/>
  <c r="H70" i="5"/>
  <c r="I70" i="5"/>
  <c r="H71" i="5"/>
  <c r="I71" i="5"/>
  <c r="H72" i="5"/>
  <c r="I72" i="5"/>
  <c r="H73" i="5"/>
  <c r="I73" i="5"/>
  <c r="H74" i="5"/>
  <c r="I74" i="5"/>
  <c r="H75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I76" i="5" l="1"/>
  <c r="R6" i="5"/>
  <c r="L13" i="1"/>
  <c r="L11" i="1"/>
  <c r="L12" i="1"/>
  <c r="L8" i="1"/>
  <c r="H76" i="5"/>
  <c r="D6" i="5"/>
  <c r="S7" i="5" l="1"/>
  <c r="AB8" i="5" s="1"/>
  <c r="Y6" i="5"/>
  <c r="AA6" i="5"/>
  <c r="X6" i="5"/>
  <c r="E7" i="5"/>
  <c r="N8" i="5" s="1"/>
  <c r="M6" i="5"/>
  <c r="F7" i="5"/>
  <c r="K6" i="5"/>
  <c r="J6" i="5"/>
  <c r="T7" i="5"/>
  <c r="I6" i="5"/>
  <c r="H6" i="5"/>
  <c r="W6" i="5"/>
  <c r="V6" i="5"/>
  <c r="O6" i="5" l="1"/>
  <c r="AC6" i="5"/>
  <c r="R7" i="5"/>
  <c r="D7" i="5"/>
  <c r="X7" i="5" l="1"/>
  <c r="AA7" i="5"/>
  <c r="Y7" i="5"/>
  <c r="F8" i="5"/>
  <c r="M7" i="5"/>
  <c r="K7" i="5"/>
  <c r="J7" i="5"/>
  <c r="S8" i="5"/>
  <c r="AB9" i="5" s="1"/>
  <c r="T8" i="5"/>
  <c r="E8" i="5"/>
  <c r="N9" i="5" s="1"/>
  <c r="V7" i="5"/>
  <c r="W7" i="5"/>
  <c r="H7" i="5"/>
  <c r="I7" i="5"/>
  <c r="D8" i="5" l="1"/>
  <c r="R8" i="5"/>
  <c r="O7" i="5"/>
  <c r="AC7" i="5"/>
  <c r="X8" i="5" l="1"/>
  <c r="AA8" i="5"/>
  <c r="Y8" i="5"/>
  <c r="T9" i="5"/>
  <c r="E9" i="5"/>
  <c r="N10" i="5" s="1"/>
  <c r="K8" i="5"/>
  <c r="J8" i="5"/>
  <c r="M8" i="5"/>
  <c r="F9" i="5"/>
  <c r="S9" i="5"/>
  <c r="AB10" i="5" s="1"/>
  <c r="W8" i="5"/>
  <c r="V8" i="5"/>
  <c r="I8" i="5"/>
  <c r="H8" i="5"/>
  <c r="D9" i="5" l="1"/>
  <c r="AC8" i="5"/>
  <c r="R9" i="5"/>
  <c r="O8" i="5"/>
  <c r="T10" i="5" l="1"/>
  <c r="X9" i="5"/>
  <c r="AA9" i="5"/>
  <c r="Y9" i="5"/>
  <c r="F10" i="5"/>
  <c r="M9" i="5"/>
  <c r="O9" i="5" s="1"/>
  <c r="K9" i="5"/>
  <c r="J9" i="5"/>
  <c r="S10" i="5"/>
  <c r="AB11" i="5" s="1"/>
  <c r="E10" i="5"/>
  <c r="N11" i="5" s="1"/>
  <c r="I9" i="5"/>
  <c r="H9" i="5"/>
  <c r="V9" i="5"/>
  <c r="W9" i="5"/>
  <c r="D10" i="5" l="1"/>
  <c r="AC9" i="5"/>
  <c r="R10" i="5"/>
  <c r="X10" i="5" l="1"/>
  <c r="AA10" i="5"/>
  <c r="Y10" i="5"/>
  <c r="F11" i="5"/>
  <c r="M10" i="5"/>
  <c r="O10" i="5" s="1"/>
  <c r="K10" i="5"/>
  <c r="J10" i="5"/>
  <c r="S11" i="5"/>
  <c r="AB12" i="5" s="1"/>
  <c r="T11" i="5"/>
  <c r="H10" i="5"/>
  <c r="E11" i="5"/>
  <c r="N12" i="5" s="1"/>
  <c r="I10" i="5"/>
  <c r="W10" i="5"/>
  <c r="V10" i="5"/>
  <c r="D11" i="5" l="1"/>
  <c r="R11" i="5"/>
  <c r="AC10" i="5"/>
  <c r="S12" i="5" l="1"/>
  <c r="AB13" i="5" s="1"/>
  <c r="AA11" i="5"/>
  <c r="AC11" i="5" s="1"/>
  <c r="Y11" i="5"/>
  <c r="X11" i="5"/>
  <c r="E12" i="5"/>
  <c r="N13" i="5" s="1"/>
  <c r="J11" i="5"/>
  <c r="M11" i="5"/>
  <c r="O11" i="5" s="1"/>
  <c r="K11" i="5"/>
  <c r="T12" i="5"/>
  <c r="F12" i="5"/>
  <c r="I11" i="5"/>
  <c r="H11" i="5"/>
  <c r="V11" i="5"/>
  <c r="W11" i="5"/>
  <c r="R12" i="5" l="1"/>
  <c r="V12" i="5" s="1"/>
  <c r="D12" i="5"/>
  <c r="I12" i="5" s="1"/>
  <c r="E13" i="5" l="1"/>
  <c r="N14" i="5" s="1"/>
  <c r="W12" i="5"/>
  <c r="F13" i="5"/>
  <c r="T13" i="5"/>
  <c r="M12" i="5"/>
  <c r="O12" i="5" s="1"/>
  <c r="J12" i="5"/>
  <c r="K12" i="5"/>
  <c r="Y12" i="5"/>
  <c r="X12" i="5"/>
  <c r="S13" i="5"/>
  <c r="AB14" i="5" s="1"/>
  <c r="AA12" i="5"/>
  <c r="AC12" i="5" s="1"/>
  <c r="H12" i="5"/>
  <c r="D13" i="5" l="1"/>
  <c r="F14" i="5" s="1"/>
  <c r="R13" i="5"/>
  <c r="V13" i="5" s="1"/>
  <c r="E14" i="5" l="1"/>
  <c r="N15" i="5" s="1"/>
  <c r="I13" i="5"/>
  <c r="H13" i="5"/>
  <c r="T14" i="5"/>
  <c r="K13" i="5"/>
  <c r="J13" i="5"/>
  <c r="M13" i="5"/>
  <c r="O13" i="5" s="1"/>
  <c r="Y13" i="5"/>
  <c r="S14" i="5"/>
  <c r="AB15" i="5" s="1"/>
  <c r="X13" i="5"/>
  <c r="AA13" i="5"/>
  <c r="AC13" i="5" s="1"/>
  <c r="W13" i="5"/>
  <c r="D14" i="5" l="1"/>
  <c r="M14" i="5" s="1"/>
  <c r="O14" i="5" s="1"/>
  <c r="R14" i="5"/>
  <c r="X14" i="5" s="1"/>
  <c r="I14" i="5"/>
  <c r="H14" i="5"/>
  <c r="E15" i="5" l="1"/>
  <c r="N16" i="5" s="1"/>
  <c r="J14" i="5"/>
  <c r="F15" i="5"/>
  <c r="K14" i="5"/>
  <c r="AA14" i="5"/>
  <c r="AC14" i="5" s="1"/>
  <c r="T15" i="5"/>
  <c r="S15" i="5"/>
  <c r="AB16" i="5" s="1"/>
  <c r="Y14" i="5"/>
  <c r="W14" i="5"/>
  <c r="V14" i="5"/>
  <c r="D15" i="5"/>
  <c r="R15" i="5" l="1"/>
  <c r="T16" i="5" s="1"/>
  <c r="E16" i="5"/>
  <c r="N17" i="5" s="1"/>
  <c r="J15" i="5"/>
  <c r="M15" i="5"/>
  <c r="O15" i="5" s="1"/>
  <c r="K15" i="5"/>
  <c r="F16" i="5"/>
  <c r="H15" i="5"/>
  <c r="I15" i="5"/>
  <c r="X15" i="5" l="1"/>
  <c r="AA15" i="5"/>
  <c r="AC15" i="5" s="1"/>
  <c r="S16" i="5"/>
  <c r="AB17" i="5" s="1"/>
  <c r="Y15" i="5"/>
  <c r="V15" i="5"/>
  <c r="W15" i="5"/>
  <c r="D16" i="5"/>
  <c r="R16" i="5" l="1"/>
  <c r="T17" i="5" s="1"/>
  <c r="F17" i="5"/>
  <c r="J16" i="5"/>
  <c r="M16" i="5"/>
  <c r="O16" i="5" s="1"/>
  <c r="K16" i="5"/>
  <c r="E17" i="5"/>
  <c r="I16" i="5"/>
  <c r="H16" i="5"/>
  <c r="W16" i="5" l="1"/>
  <c r="S17" i="5"/>
  <c r="AB18" i="5" s="1"/>
  <c r="V16" i="5"/>
  <c r="X16" i="5"/>
  <c r="AA16" i="5"/>
  <c r="AC16" i="5" s="1"/>
  <c r="Y16" i="5"/>
  <c r="D17" i="5"/>
  <c r="I17" i="5" s="1"/>
  <c r="N18" i="5"/>
  <c r="R17" i="5" l="1"/>
  <c r="V17" i="5" s="1"/>
  <c r="E18" i="5"/>
  <c r="N19" i="5" s="1"/>
  <c r="H17" i="5"/>
  <c r="F18" i="5"/>
  <c r="M17" i="5"/>
  <c r="O17" i="5" s="1"/>
  <c r="K17" i="5"/>
  <c r="J17" i="5"/>
  <c r="S18" i="5" l="1"/>
  <c r="AB19" i="5" s="1"/>
  <c r="W17" i="5"/>
  <c r="AA17" i="5"/>
  <c r="AC17" i="5" s="1"/>
  <c r="Y17" i="5"/>
  <c r="T18" i="5"/>
  <c r="X17" i="5"/>
  <c r="D18" i="5"/>
  <c r="F19" i="5" s="1"/>
  <c r="R18" i="5" l="1"/>
  <c r="W18" i="5" s="1"/>
  <c r="E19" i="5"/>
  <c r="N20" i="5" s="1"/>
  <c r="K18" i="5"/>
  <c r="M18" i="5"/>
  <c r="O18" i="5" s="1"/>
  <c r="H18" i="5"/>
  <c r="I18" i="5"/>
  <c r="J18" i="5"/>
  <c r="V18" i="5" l="1"/>
  <c r="T19" i="5"/>
  <c r="X18" i="5"/>
  <c r="AA18" i="5"/>
  <c r="AC18" i="5" s="1"/>
  <c r="S19" i="5"/>
  <c r="AB20" i="5" s="1"/>
  <c r="Y18" i="5"/>
  <c r="D19" i="5"/>
  <c r="M19" i="5" s="1"/>
  <c r="O19" i="5" s="1"/>
  <c r="R19" i="5" l="1"/>
  <c r="X19" i="5" s="1"/>
  <c r="E20" i="5"/>
  <c r="N21" i="5" s="1"/>
  <c r="I19" i="5"/>
  <c r="H19" i="5"/>
  <c r="J19" i="5"/>
  <c r="K19" i="5"/>
  <c r="F20" i="5"/>
  <c r="V19" i="5" l="1"/>
  <c r="W19" i="5"/>
  <c r="Y19" i="5"/>
  <c r="T20" i="5"/>
  <c r="AA19" i="5"/>
  <c r="AC19" i="5" s="1"/>
  <c r="S20" i="5"/>
  <c r="AB21" i="5" s="1"/>
  <c r="D20" i="5"/>
  <c r="J20" i="5" s="1"/>
  <c r="R20" i="5" l="1"/>
  <c r="S21" i="5" s="1"/>
  <c r="AB22" i="5" s="1"/>
  <c r="E21" i="5"/>
  <c r="N22" i="5" s="1"/>
  <c r="H20" i="5"/>
  <c r="I20" i="5"/>
  <c r="K20" i="5"/>
  <c r="F21" i="5"/>
  <c r="M20" i="5"/>
  <c r="O20" i="5" s="1"/>
  <c r="AA20" i="5"/>
  <c r="AC20" i="5" s="1"/>
  <c r="V20" i="5"/>
  <c r="Y20" i="5"/>
  <c r="T21" i="5"/>
  <c r="W20" i="5" l="1"/>
  <c r="R21" i="5"/>
  <c r="AA21" i="5" s="1"/>
  <c r="AC21" i="5" s="1"/>
  <c r="D21" i="5"/>
  <c r="F22" i="5" s="1"/>
  <c r="X20" i="5"/>
  <c r="S22" i="5"/>
  <c r="AB23" i="5" s="1"/>
  <c r="T22" i="5"/>
  <c r="Y21" i="5"/>
  <c r="E22" i="5"/>
  <c r="N23" i="5" s="1"/>
  <c r="X21" i="5" l="1"/>
  <c r="V21" i="5"/>
  <c r="W21" i="5"/>
  <c r="K21" i="5"/>
  <c r="M21" i="5"/>
  <c r="O21" i="5" s="1"/>
  <c r="J21" i="5"/>
  <c r="I21" i="5"/>
  <c r="H21" i="5"/>
  <c r="R22" i="5"/>
  <c r="W22" i="5" s="1"/>
  <c r="D22" i="5"/>
  <c r="S23" i="5" l="1"/>
  <c r="AB24" i="5" s="1"/>
  <c r="Y22" i="5"/>
  <c r="X22" i="5"/>
  <c r="V22" i="5"/>
  <c r="AA22" i="5"/>
  <c r="AC22" i="5" s="1"/>
  <c r="T23" i="5"/>
  <c r="E23" i="5"/>
  <c r="N24" i="5" s="1"/>
  <c r="M22" i="5"/>
  <c r="O22" i="5" s="1"/>
  <c r="K22" i="5"/>
  <c r="J22" i="5"/>
  <c r="F23" i="5"/>
  <c r="I22" i="5"/>
  <c r="H22" i="5"/>
  <c r="R23" i="5" l="1"/>
  <c r="S24" i="5" s="1"/>
  <c r="D23" i="5"/>
  <c r="F24" i="5" s="1"/>
  <c r="Y23" i="5" l="1"/>
  <c r="V23" i="5"/>
  <c r="X23" i="5"/>
  <c r="T24" i="5"/>
  <c r="R24" i="5" s="1"/>
  <c r="S25" i="5" s="1"/>
  <c r="W23" i="5"/>
  <c r="AA23" i="5"/>
  <c r="AC23" i="5" s="1"/>
  <c r="AB25" i="5"/>
  <c r="I23" i="5"/>
  <c r="K23" i="5"/>
  <c r="M23" i="5"/>
  <c r="O23" i="5" s="1"/>
  <c r="J23" i="5"/>
  <c r="H23" i="5"/>
  <c r="E24" i="5"/>
  <c r="N25" i="5" s="1"/>
  <c r="AB26" i="5" l="1"/>
  <c r="V24" i="5"/>
  <c r="AA24" i="5"/>
  <c r="AC24" i="5" s="1"/>
  <c r="W24" i="5"/>
  <c r="Y24" i="5"/>
  <c r="X24" i="5"/>
  <c r="T25" i="5"/>
  <c r="D24" i="5"/>
  <c r="F25" i="5" s="1"/>
  <c r="E25" i="5" l="1"/>
  <c r="N26" i="5" s="1"/>
  <c r="R25" i="5"/>
  <c r="H24" i="5"/>
  <c r="I24" i="5"/>
  <c r="M24" i="5"/>
  <c r="O24" i="5" s="1"/>
  <c r="K24" i="5"/>
  <c r="J24" i="5"/>
  <c r="D25" i="5" l="1"/>
  <c r="H25" i="5" s="1"/>
  <c r="X25" i="5"/>
  <c r="AA25" i="5"/>
  <c r="AC25" i="5" s="1"/>
  <c r="W25" i="5"/>
  <c r="S26" i="5"/>
  <c r="V25" i="5"/>
  <c r="Y25" i="5"/>
  <c r="T26" i="5"/>
  <c r="E26" i="5"/>
  <c r="N27" i="5" s="1"/>
  <c r="J25" i="5" l="1"/>
  <c r="F26" i="5"/>
  <c r="D26" i="5" s="1"/>
  <c r="M25" i="5"/>
  <c r="O25" i="5" s="1"/>
  <c r="K25" i="5"/>
  <c r="I25" i="5"/>
  <c r="AB27" i="5"/>
  <c r="R26" i="5"/>
  <c r="S27" i="5" s="1"/>
  <c r="AB28" i="5" l="1"/>
  <c r="Y26" i="5"/>
  <c r="W26" i="5"/>
  <c r="X26" i="5"/>
  <c r="V26" i="5"/>
  <c r="AA26" i="5"/>
  <c r="AC26" i="5" s="1"/>
  <c r="T27" i="5"/>
  <c r="F27" i="5"/>
  <c r="M26" i="5"/>
  <c r="O26" i="5" s="1"/>
  <c r="K26" i="5"/>
  <c r="J26" i="5"/>
  <c r="E27" i="5"/>
  <c r="N28" i="5" s="1"/>
  <c r="I26" i="5"/>
  <c r="H26" i="5"/>
  <c r="R27" i="5" l="1"/>
  <c r="D27" i="5"/>
  <c r="Y27" i="5" l="1"/>
  <c r="X27" i="5"/>
  <c r="W27" i="5"/>
  <c r="AA27" i="5"/>
  <c r="AC27" i="5" s="1"/>
  <c r="V27" i="5"/>
  <c r="S28" i="5"/>
  <c r="T28" i="5"/>
  <c r="F28" i="5"/>
  <c r="J27" i="5"/>
  <c r="M27" i="5"/>
  <c r="O27" i="5" s="1"/>
  <c r="K27" i="5"/>
  <c r="E28" i="5"/>
  <c r="N29" i="5" s="1"/>
  <c r="H27" i="5"/>
  <c r="I27" i="5"/>
  <c r="R28" i="5" l="1"/>
  <c r="S29" i="5" s="1"/>
  <c r="AB29" i="5"/>
  <c r="D28" i="5"/>
  <c r="AB30" i="5" l="1"/>
  <c r="T29" i="5"/>
  <c r="W28" i="5"/>
  <c r="V28" i="5"/>
  <c r="X28" i="5"/>
  <c r="Y28" i="5"/>
  <c r="AA28" i="5"/>
  <c r="AC28" i="5" s="1"/>
  <c r="F29" i="5"/>
  <c r="J28" i="5"/>
  <c r="M28" i="5"/>
  <c r="O28" i="5" s="1"/>
  <c r="K28" i="5"/>
  <c r="E29" i="5"/>
  <c r="N30" i="5" s="1"/>
  <c r="I28" i="5"/>
  <c r="H28" i="5"/>
  <c r="R29" i="5" l="1"/>
  <c r="D29" i="5"/>
  <c r="W29" i="5" l="1"/>
  <c r="V29" i="5"/>
  <c r="AA29" i="5"/>
  <c r="AC29" i="5" s="1"/>
  <c r="X29" i="5"/>
  <c r="Y29" i="5"/>
  <c r="S30" i="5"/>
  <c r="T30" i="5"/>
  <c r="F30" i="5"/>
  <c r="M29" i="5"/>
  <c r="O29" i="5" s="1"/>
  <c r="J29" i="5"/>
  <c r="K29" i="5"/>
  <c r="E30" i="5"/>
  <c r="N31" i="5" s="1"/>
  <c r="H29" i="5"/>
  <c r="I29" i="5"/>
  <c r="AB31" i="5" l="1"/>
  <c r="R30" i="5"/>
  <c r="D30" i="5"/>
  <c r="W30" i="5" l="1"/>
  <c r="X30" i="5"/>
  <c r="AA30" i="5"/>
  <c r="AC30" i="5" s="1"/>
  <c r="Y30" i="5"/>
  <c r="V30" i="5"/>
  <c r="S31" i="5"/>
  <c r="T31" i="5"/>
  <c r="F31" i="5"/>
  <c r="J30" i="5"/>
  <c r="M30" i="5"/>
  <c r="O30" i="5" s="1"/>
  <c r="K30" i="5"/>
  <c r="E31" i="5"/>
  <c r="I30" i="5"/>
  <c r="H30" i="5"/>
  <c r="R31" i="5" l="1"/>
  <c r="T32" i="5" s="1"/>
  <c r="AB32" i="5"/>
  <c r="S32" i="5"/>
  <c r="D31" i="5"/>
  <c r="H31" i="5" s="1"/>
  <c r="N32" i="5"/>
  <c r="AB33" i="5" l="1"/>
  <c r="R32" i="5"/>
  <c r="T33" i="5" s="1"/>
  <c r="E32" i="5"/>
  <c r="N33" i="5" s="1"/>
  <c r="F32" i="5"/>
  <c r="X31" i="5"/>
  <c r="W31" i="5"/>
  <c r="V31" i="5"/>
  <c r="AA31" i="5"/>
  <c r="AC31" i="5" s="1"/>
  <c r="Y31" i="5"/>
  <c r="I31" i="5"/>
  <c r="K31" i="5"/>
  <c r="J31" i="5"/>
  <c r="M31" i="5"/>
  <c r="O31" i="5" s="1"/>
  <c r="D32" i="5" l="1"/>
  <c r="H32" i="5" s="1"/>
  <c r="V32" i="5"/>
  <c r="AA32" i="5"/>
  <c r="AC32" i="5" s="1"/>
  <c r="W32" i="5"/>
  <c r="X32" i="5"/>
  <c r="Y32" i="5"/>
  <c r="S33" i="5"/>
  <c r="E33" i="5"/>
  <c r="N34" i="5" s="1"/>
  <c r="F33" i="5" l="1"/>
  <c r="D33" i="5" s="1"/>
  <c r="I32" i="5"/>
  <c r="M32" i="5"/>
  <c r="O32" i="5" s="1"/>
  <c r="K32" i="5"/>
  <c r="J32" i="5"/>
  <c r="AB34" i="5"/>
  <c r="R33" i="5"/>
  <c r="S34" i="5" s="1"/>
  <c r="AB35" i="5" l="1"/>
  <c r="AA33" i="5"/>
  <c r="AC33" i="5" s="1"/>
  <c r="X33" i="5"/>
  <c r="W33" i="5"/>
  <c r="V33" i="5"/>
  <c r="Y33" i="5"/>
  <c r="T34" i="5"/>
  <c r="M33" i="5"/>
  <c r="O33" i="5" s="1"/>
  <c r="J33" i="5"/>
  <c r="K33" i="5"/>
  <c r="F34" i="5"/>
  <c r="I33" i="5"/>
  <c r="H33" i="5"/>
  <c r="E34" i="5"/>
  <c r="R34" i="5" l="1"/>
  <c r="D34" i="5"/>
  <c r="F35" i="5" s="1"/>
  <c r="N35" i="5"/>
  <c r="W34" i="5" l="1"/>
  <c r="V34" i="5"/>
  <c r="X34" i="5"/>
  <c r="AA34" i="5"/>
  <c r="AC34" i="5" s="1"/>
  <c r="Y34" i="5"/>
  <c r="S35" i="5"/>
  <c r="T35" i="5"/>
  <c r="E35" i="5"/>
  <c r="N36" i="5" s="1"/>
  <c r="H34" i="5"/>
  <c r="I34" i="5"/>
  <c r="J34" i="5"/>
  <c r="M34" i="5"/>
  <c r="O34" i="5" s="1"/>
  <c r="K34" i="5"/>
  <c r="AB36" i="5" l="1"/>
  <c r="R35" i="5"/>
  <c r="S36" i="5" s="1"/>
  <c r="D35" i="5"/>
  <c r="K35" i="5" s="1"/>
  <c r="E36" i="5" l="1"/>
  <c r="N37" i="5" s="1"/>
  <c r="I35" i="5"/>
  <c r="F36" i="5"/>
  <c r="AB37" i="5"/>
  <c r="H35" i="5"/>
  <c r="W35" i="5"/>
  <c r="V35" i="5"/>
  <c r="X35" i="5"/>
  <c r="Y35" i="5"/>
  <c r="AA35" i="5"/>
  <c r="AC35" i="5" s="1"/>
  <c r="T36" i="5"/>
  <c r="R36" i="5" s="1"/>
  <c r="M35" i="5"/>
  <c r="O35" i="5" s="1"/>
  <c r="J35" i="5"/>
  <c r="D36" i="5" l="1"/>
  <c r="H36" i="5" s="1"/>
  <c r="T37" i="5"/>
  <c r="W36" i="5"/>
  <c r="X36" i="5"/>
  <c r="AA36" i="5"/>
  <c r="AC36" i="5" s="1"/>
  <c r="Y36" i="5"/>
  <c r="V36" i="5"/>
  <c r="S37" i="5"/>
  <c r="K36" i="5"/>
  <c r="J36" i="5"/>
  <c r="M36" i="5"/>
  <c r="O36" i="5" s="1"/>
  <c r="I36" i="5"/>
  <c r="F37" i="5"/>
  <c r="E37" i="5"/>
  <c r="AB38" i="5" l="1"/>
  <c r="R37" i="5"/>
  <c r="T38" i="5" s="1"/>
  <c r="D37" i="5"/>
  <c r="H37" i="5" s="1"/>
  <c r="N38" i="5"/>
  <c r="I37" i="5" l="1"/>
  <c r="S38" i="5"/>
  <c r="V37" i="5"/>
  <c r="W37" i="5"/>
  <c r="Y37" i="5"/>
  <c r="X37" i="5"/>
  <c r="AA37" i="5"/>
  <c r="AC37" i="5" s="1"/>
  <c r="F38" i="5"/>
  <c r="E38" i="5"/>
  <c r="N39" i="5" s="1"/>
  <c r="M37" i="5"/>
  <c r="O37" i="5" s="1"/>
  <c r="K37" i="5"/>
  <c r="J37" i="5"/>
  <c r="AB39" i="5" l="1"/>
  <c r="R38" i="5"/>
  <c r="T39" i="5" s="1"/>
  <c r="D38" i="5"/>
  <c r="J38" i="5" s="1"/>
  <c r="S39" i="5" l="1"/>
  <c r="AB40" i="5" s="1"/>
  <c r="E39" i="5"/>
  <c r="N40" i="5" s="1"/>
  <c r="I38" i="5"/>
  <c r="H38" i="5"/>
  <c r="F39" i="5"/>
  <c r="K38" i="5"/>
  <c r="M38" i="5"/>
  <c r="O38" i="5" s="1"/>
  <c r="AA38" i="5"/>
  <c r="AC38" i="5" s="1"/>
  <c r="Y38" i="5"/>
  <c r="X38" i="5"/>
  <c r="W38" i="5"/>
  <c r="V38" i="5"/>
  <c r="R39" i="5" l="1"/>
  <c r="S40" i="5" s="1"/>
  <c r="AB41" i="5" s="1"/>
  <c r="D39" i="5"/>
  <c r="I39" i="5" s="1"/>
  <c r="T40" i="5" l="1"/>
  <c r="R40" i="5" s="1"/>
  <c r="T41" i="5" s="1"/>
  <c r="W39" i="5"/>
  <c r="V39" i="5"/>
  <c r="Y39" i="5"/>
  <c r="AA39" i="5"/>
  <c r="AC39" i="5" s="1"/>
  <c r="X39" i="5"/>
  <c r="F40" i="5"/>
  <c r="M39" i="5"/>
  <c r="O39" i="5" s="1"/>
  <c r="K39" i="5"/>
  <c r="J39" i="5"/>
  <c r="E40" i="5"/>
  <c r="N41" i="5" s="1"/>
  <c r="H39" i="5"/>
  <c r="AA40" i="5" l="1"/>
  <c r="AC40" i="5" s="1"/>
  <c r="W40" i="5"/>
  <c r="S41" i="5"/>
  <c r="AB42" i="5" s="1"/>
  <c r="V40" i="5"/>
  <c r="Y40" i="5"/>
  <c r="X40" i="5"/>
  <c r="D40" i="5"/>
  <c r="K40" i="5" s="1"/>
  <c r="R41" i="5" l="1"/>
  <c r="T42" i="5" s="1"/>
  <c r="I40" i="5"/>
  <c r="H40" i="5"/>
  <c r="F41" i="5"/>
  <c r="M40" i="5"/>
  <c r="O40" i="5" s="1"/>
  <c r="J40" i="5"/>
  <c r="E41" i="5"/>
  <c r="N42" i="5" s="1"/>
  <c r="AA41" i="5" l="1"/>
  <c r="AC41" i="5" s="1"/>
  <c r="W41" i="5"/>
  <c r="Y41" i="5"/>
  <c r="V41" i="5"/>
  <c r="X41" i="5"/>
  <c r="S42" i="5"/>
  <c r="AB43" i="5" s="1"/>
  <c r="D41" i="5"/>
  <c r="H41" i="5" s="1"/>
  <c r="I41" i="5" l="1"/>
  <c r="F42" i="5"/>
  <c r="M41" i="5"/>
  <c r="O41" i="5" s="1"/>
  <c r="K41" i="5"/>
  <c r="J41" i="5"/>
  <c r="E42" i="5"/>
  <c r="N43" i="5" s="1"/>
  <c r="R42" i="5"/>
  <c r="S43" i="5" s="1"/>
  <c r="AB44" i="5" s="1"/>
  <c r="Y42" i="5" l="1"/>
  <c r="V42" i="5"/>
  <c r="T43" i="5"/>
  <c r="R43" i="5" s="1"/>
  <c r="AA42" i="5"/>
  <c r="AC42" i="5" s="1"/>
  <c r="W42" i="5"/>
  <c r="X42" i="5"/>
  <c r="D42" i="5"/>
  <c r="M42" i="5" s="1"/>
  <c r="O42" i="5" s="1"/>
  <c r="T44" i="5" l="1"/>
  <c r="V43" i="5"/>
  <c r="X43" i="5"/>
  <c r="AA43" i="5"/>
  <c r="AC43" i="5" s="1"/>
  <c r="W43" i="5"/>
  <c r="S44" i="5"/>
  <c r="AB45" i="5" s="1"/>
  <c r="Y43" i="5"/>
  <c r="E43" i="5"/>
  <c r="N44" i="5" s="1"/>
  <c r="F43" i="5"/>
  <c r="I42" i="5"/>
  <c r="H42" i="5"/>
  <c r="K42" i="5"/>
  <c r="J42" i="5"/>
  <c r="D43" i="5" l="1"/>
  <c r="K43" i="5" s="1"/>
  <c r="R44" i="5"/>
  <c r="S45" i="5" s="1"/>
  <c r="AB46" i="5" s="1"/>
  <c r="E44" i="5" l="1"/>
  <c r="N45" i="5" s="1"/>
  <c r="I43" i="5"/>
  <c r="H43" i="5"/>
  <c r="M43" i="5"/>
  <c r="O43" i="5" s="1"/>
  <c r="F44" i="5"/>
  <c r="D44" i="5" s="1"/>
  <c r="J43" i="5"/>
  <c r="T45" i="5"/>
  <c r="R45" i="5" s="1"/>
  <c r="AA44" i="5"/>
  <c r="AC44" i="5" s="1"/>
  <c r="Y44" i="5"/>
  <c r="W44" i="5"/>
  <c r="V44" i="5"/>
  <c r="X44" i="5"/>
  <c r="V45" i="5" l="1"/>
  <c r="W45" i="5"/>
  <c r="Y45" i="5"/>
  <c r="X45" i="5"/>
  <c r="AA45" i="5"/>
  <c r="AC45" i="5" s="1"/>
  <c r="S46" i="5"/>
  <c r="T46" i="5"/>
  <c r="F45" i="5"/>
  <c r="M44" i="5"/>
  <c r="O44" i="5" s="1"/>
  <c r="K44" i="5"/>
  <c r="J44" i="5"/>
  <c r="H44" i="5"/>
  <c r="I44" i="5"/>
  <c r="E45" i="5"/>
  <c r="N46" i="5" s="1"/>
  <c r="AB47" i="5" l="1"/>
  <c r="R46" i="5"/>
  <c r="S47" i="5" s="1"/>
  <c r="D45" i="5"/>
  <c r="AB48" i="5" l="1"/>
  <c r="Y46" i="5"/>
  <c r="AA46" i="5"/>
  <c r="AC46" i="5" s="1"/>
  <c r="X46" i="5"/>
  <c r="W46" i="5"/>
  <c r="V46" i="5"/>
  <c r="T47" i="5"/>
  <c r="F46" i="5"/>
  <c r="M45" i="5"/>
  <c r="O45" i="5" s="1"/>
  <c r="J45" i="5"/>
  <c r="K45" i="5"/>
  <c r="I45" i="5"/>
  <c r="H45" i="5"/>
  <c r="E46" i="5"/>
  <c r="N47" i="5" s="1"/>
  <c r="R47" i="5" l="1"/>
  <c r="D46" i="5"/>
  <c r="Y47" i="5" l="1"/>
  <c r="W47" i="5"/>
  <c r="V47" i="5"/>
  <c r="X47" i="5"/>
  <c r="AA47" i="5"/>
  <c r="AC47" i="5" s="1"/>
  <c r="S48" i="5"/>
  <c r="T48" i="5"/>
  <c r="F47" i="5"/>
  <c r="J46" i="5"/>
  <c r="K46" i="5"/>
  <c r="M46" i="5"/>
  <c r="O46" i="5" s="1"/>
  <c r="H46" i="5"/>
  <c r="I46" i="5"/>
  <c r="E47" i="5"/>
  <c r="N48" i="5" s="1"/>
  <c r="AB49" i="5" l="1"/>
  <c r="R48" i="5"/>
  <c r="T49" i="5" s="1"/>
  <c r="D47" i="5"/>
  <c r="S49" i="5" l="1"/>
  <c r="AB50" i="5" s="1"/>
  <c r="AB52" i="5" s="1"/>
  <c r="AB53" i="5" s="1"/>
  <c r="V48" i="5"/>
  <c r="X48" i="5"/>
  <c r="AA48" i="5"/>
  <c r="AC48" i="5" s="1"/>
  <c r="Y48" i="5"/>
  <c r="W48" i="5"/>
  <c r="F48" i="5"/>
  <c r="K47" i="5"/>
  <c r="J47" i="5"/>
  <c r="M47" i="5"/>
  <c r="O47" i="5" s="1"/>
  <c r="I47" i="5"/>
  <c r="H47" i="5"/>
  <c r="E48" i="5"/>
  <c r="N49" i="5" s="1"/>
  <c r="R49" i="5" l="1"/>
  <c r="S50" i="5" s="1"/>
  <c r="D48" i="5"/>
  <c r="W49" i="5" l="1"/>
  <c r="Y49" i="5"/>
  <c r="V49" i="5"/>
  <c r="AA49" i="5"/>
  <c r="AC49" i="5" s="1"/>
  <c r="X49" i="5"/>
  <c r="T50" i="5"/>
  <c r="R50" i="5" s="1"/>
  <c r="F49" i="5"/>
  <c r="M48" i="5"/>
  <c r="K48" i="5"/>
  <c r="J48" i="5"/>
  <c r="H48" i="5"/>
  <c r="I48" i="5"/>
  <c r="E49" i="5"/>
  <c r="N50" i="5" s="1"/>
  <c r="AA50" i="5" l="1"/>
  <c r="X50" i="5"/>
  <c r="X52" i="5" s="1"/>
  <c r="X53" i="5" s="1"/>
  <c r="Y50" i="5"/>
  <c r="Y52" i="5" s="1"/>
  <c r="Y53" i="5" s="1"/>
  <c r="C61" i="5" s="1"/>
  <c r="B32" i="1" s="1"/>
  <c r="W50" i="5"/>
  <c r="W52" i="5" s="1"/>
  <c r="W53" i="5" s="1"/>
  <c r="V50" i="5"/>
  <c r="V52" i="5" s="1"/>
  <c r="V53" i="5" s="1"/>
  <c r="N52" i="5"/>
  <c r="N53" i="5" s="1"/>
  <c r="D49" i="5"/>
  <c r="O48" i="5"/>
  <c r="AC50" i="5" l="1"/>
  <c r="AC52" i="5" s="1"/>
  <c r="AC53" i="5" s="1"/>
  <c r="B61" i="5" s="1"/>
  <c r="C32" i="1" s="1"/>
  <c r="AA52" i="5"/>
  <c r="AA53" i="5" s="1"/>
  <c r="F50" i="5"/>
  <c r="M49" i="5"/>
  <c r="K49" i="5"/>
  <c r="J49" i="5"/>
  <c r="H49" i="5"/>
  <c r="I49" i="5"/>
  <c r="E50" i="5"/>
  <c r="D50" i="5" s="1"/>
  <c r="J50" i="5" l="1"/>
  <c r="J52" i="5" s="1"/>
  <c r="J53" i="5" s="1"/>
  <c r="M50" i="5"/>
  <c r="O50" i="5" s="1"/>
  <c r="K50" i="5"/>
  <c r="K52" i="5" s="1"/>
  <c r="K53" i="5" s="1"/>
  <c r="C60" i="5" s="1"/>
  <c r="I50" i="5"/>
  <c r="I52" i="5" s="1"/>
  <c r="I53" i="5" s="1"/>
  <c r="H50" i="5"/>
  <c r="H52" i="5" s="1"/>
  <c r="H53" i="5" s="1"/>
  <c r="O49" i="5"/>
  <c r="C62" i="5" l="1"/>
  <c r="B33" i="1" s="1"/>
  <c r="B31" i="1"/>
  <c r="M52" i="5"/>
  <c r="M53" i="5" s="1"/>
  <c r="O52" i="5"/>
  <c r="O53" i="5" s="1"/>
  <c r="B60" i="5" s="1"/>
  <c r="B62" i="5" s="1"/>
  <c r="B63" i="5" s="1"/>
  <c r="C31" i="1" l="1"/>
  <c r="D33" i="1"/>
  <c r="C33" i="1"/>
</calcChain>
</file>

<file path=xl/comments1.xml><?xml version="1.0" encoding="utf-8"?>
<comments xmlns="http://schemas.openxmlformats.org/spreadsheetml/2006/main">
  <authors>
    <author>Andrew Briggs</author>
  </authors>
  <commentList>
    <comment ref="I4" authorId="0" shapeId="0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<sst xmlns="http://schemas.openxmlformats.org/spreadsheetml/2006/main" count="185" uniqueCount="138">
  <si>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</si>
  <si>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</si>
  <si>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</si>
  <si>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</si>
  <si>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</si>
  <si>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</si>
  <si>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</si>
  <si>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</si>
  <si>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</si>
  <si>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</si>
  <si>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</si>
  <si>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</si>
  <si>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</si>
  <si>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</si>
  <si>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</si>
  <si>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</si>
  <si>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</si>
  <si>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</si>
  <si>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</si>
  <si>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</si>
  <si>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</si>
  <si>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</si>
  <si>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</si>
  <si>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</si>
  <si>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</si>
  <si>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</si>
  <si>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</si>
  <si>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</si>
  <si>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</si>
  <si>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</si>
  <si>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</si>
  <si>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</si>
  <si>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</si>
  <si>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</si>
  <si>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</si>
  <si>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</si>
  <si>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</si>
  <si>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</si>
  <si>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</si>
  <si>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</si>
  <si>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</si>
  <si>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</si>
  <si>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</si>
  <si>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</si>
  <si>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</si>
  <si>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</si>
  <si>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</si>
  <si>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</si>
  <si>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</si>
  <si>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</si>
  <si>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</si>
  <si>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</si>
  <si>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</si>
  <si>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</si>
  <si>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</si>
  <si>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</si>
  <si>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</si>
  <si>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</si>
  <si>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</si>
  <si>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</si>
  <si>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</si>
  <si>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</si>
  <si>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</si>
  <si>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</si>
  <si>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</si>
  <si>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</si>
  <si>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</si>
  <si>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</si>
  <si>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</si>
  <si>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</si>
  <si>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</si>
  <si>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</si>
  <si>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</si>
  <si>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</si>
  <si>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</si>
  <si>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</si>
  <si>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</si>
  <si>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</si>
  <si>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</si>
  <si>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</si>
  <si>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</si>
  <si>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</si>
  <si>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</si>
  <si>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</si>
  <si>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</si>
  <si>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</si>
  <si>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</si>
  <si>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</si>
  <si>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</si>
  <si>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</si>
  <si>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</si>
  <si>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</si>
  <si>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</si>
  <si>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</si>
  <si>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</si>
  <si>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</si>
  <si>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</si>
  <si>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</si>
  <si>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</si>
  <si>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</si>
  <si>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</si>
  <si>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</si>
  <si>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</si>
  <si>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</si>
  <si>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</si>
  <si>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</si>
  <si>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</si>
  <si>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</si>
  <si>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</si>
  <si>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</si>
  <si>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</si>
  <si>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</si>
  <si>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</si>
  <si>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</si>
  <si>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</si>
  <si>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</si>
  <si>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</si>
  <si>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</si>
  <si>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</si>
  <si>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</si>
  <si>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</si>
  <si>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</si>
  <si>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</si>
  <si>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</si>
  <si>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</si>
  <si>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</si>
  <si>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</si>
  <si>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</si>
  <si>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</si>
  <si>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</si>
  <si>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</si>
  <si>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</si>
  <si>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</si>
  <si>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Model for both interventions</t>
  </si>
  <si>
    <t>Cohort Drug</t>
  </si>
  <si>
    <t>Cohort No Drug</t>
  </si>
  <si>
    <t>rDeath</t>
  </si>
  <si>
    <t>Restore (mean)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</si>
</sst>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64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1" fontId="0" fillId="0" borderId="6" xfId="0" applyNumberFormat="1" applyBorder="1"/>
    <xf numFmtId="2" fontId="0" fillId="0" borderId="6" xfId="0" applyNumberFormat="1" applyBorder="1"/>
    <xf numFmtId="0" fontId="1" fillId="0" borderId="0" xfId="0" applyFont="1"/>
    <xf numFmtId="43" fontId="0" fillId="0" borderId="0" xfId="0" applyNumberFormat="1"/>
    <xf numFmtId="168" fontId="1" fillId="0" borderId="0" xfId="0" applyNumberFormat="1" applyFont="1"/>
    <xf numFmtId="43" fontId="1" fillId="0" borderId="0" xfId="1" applyFont="1"/>
    <xf numFmtId="43" fontId="1" fillId="0" borderId="0" xfId="1" applyFont="1" applyBorder="1"/>
    <xf numFmtId="168" fontId="1" fillId="0" borderId="0" xfId="0" applyNumberFormat="1" applyFont="1" applyBorder="1"/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 plane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0.84965531921645088</c:v>
                </c:pt>
                <c:pt idx="1">
                  <c:v>0.8055575693931436</c:v>
                </c:pt>
                <c:pt idx="2">
                  <c:v>0.82967793983152127</c:v>
                </c:pt>
                <c:pt idx="3">
                  <c:v>0.78973592985946262</c:v>
                </c:pt>
                <c:pt idx="4">
                  <c:v>0.82970282297388387</c:v>
                </c:pt>
                <c:pt idx="5">
                  <c:v>0.97437163529920934</c:v>
                </c:pt>
                <c:pt idx="6">
                  <c:v>0.92338472613750611</c:v>
                </c:pt>
                <c:pt idx="7">
                  <c:v>0.90208553382024803</c:v>
                </c:pt>
                <c:pt idx="8">
                  <c:v>0.85163460480531938</c:v>
                </c:pt>
                <c:pt idx="9">
                  <c:v>0.81046615816660239</c:v>
                </c:pt>
                <c:pt idx="10">
                  <c:v>0.88476475112353192</c:v>
                </c:pt>
                <c:pt idx="11">
                  <c:v>0.94620054832408673</c:v>
                </c:pt>
                <c:pt idx="12">
                  <c:v>1.0377186161020715</c:v>
                </c:pt>
                <c:pt idx="13">
                  <c:v>0.74616793737120002</c:v>
                </c:pt>
                <c:pt idx="14">
                  <c:v>0.80235664597026446</c:v>
                </c:pt>
                <c:pt idx="15">
                  <c:v>0.92903598210558513</c:v>
                </c:pt>
                <c:pt idx="16">
                  <c:v>0.66555830246896086</c:v>
                </c:pt>
                <c:pt idx="17">
                  <c:v>0.84506364901329967</c:v>
                </c:pt>
                <c:pt idx="18">
                  <c:v>0.98085018798428969</c:v>
                </c:pt>
                <c:pt idx="19">
                  <c:v>0.76685283028293227</c:v>
                </c:pt>
                <c:pt idx="20">
                  <c:v>0.82240691363221963</c:v>
                </c:pt>
                <c:pt idx="21">
                  <c:v>0.86110629920571746</c:v>
                </c:pt>
                <c:pt idx="22">
                  <c:v>0.44183024067157994</c:v>
                </c:pt>
                <c:pt idx="23">
                  <c:v>0.80444697352117078</c:v>
                </c:pt>
                <c:pt idx="24">
                  <c:v>1.1259973571330653</c:v>
                </c:pt>
                <c:pt idx="25">
                  <c:v>0.66572357451384789</c:v>
                </c:pt>
                <c:pt idx="26">
                  <c:v>0.92606645819170552</c:v>
                </c:pt>
                <c:pt idx="27">
                  <c:v>0.84002779368311131</c:v>
                </c:pt>
                <c:pt idx="28">
                  <c:v>0.80484296135255029</c:v>
                </c:pt>
                <c:pt idx="29">
                  <c:v>0.9547251633548246</c:v>
                </c:pt>
                <c:pt idx="30">
                  <c:v>0.78513844336599448</c:v>
                </c:pt>
                <c:pt idx="31">
                  <c:v>0.91927247083843966</c:v>
                </c:pt>
                <c:pt idx="32">
                  <c:v>0.71158949431060847</c:v>
                </c:pt>
                <c:pt idx="33">
                  <c:v>0.96156372164129955</c:v>
                </c:pt>
                <c:pt idx="34">
                  <c:v>0.92508346355783733</c:v>
                </c:pt>
                <c:pt idx="35">
                  <c:v>1.0605700271691738</c:v>
                </c:pt>
                <c:pt idx="36">
                  <c:v>0.79620855868449425</c:v>
                </c:pt>
                <c:pt idx="37">
                  <c:v>0.91199669159039054</c:v>
                </c:pt>
                <c:pt idx="38">
                  <c:v>0.70043863920257543</c:v>
                </c:pt>
                <c:pt idx="39">
                  <c:v>0.856334143237377</c:v>
                </c:pt>
                <c:pt idx="40">
                  <c:v>0.68788651068870621</c:v>
                </c:pt>
                <c:pt idx="41">
                  <c:v>0.87292806301087023</c:v>
                </c:pt>
                <c:pt idx="42">
                  <c:v>1.0630749913100583</c:v>
                </c:pt>
                <c:pt idx="43">
                  <c:v>0.82209901100737603</c:v>
                </c:pt>
                <c:pt idx="44">
                  <c:v>1.0940651947251467</c:v>
                </c:pt>
                <c:pt idx="45">
                  <c:v>0.73452227221306465</c:v>
                </c:pt>
                <c:pt idx="46">
                  <c:v>0.77469929930983472</c:v>
                </c:pt>
                <c:pt idx="47">
                  <c:v>0.79450904918412313</c:v>
                </c:pt>
                <c:pt idx="48">
                  <c:v>0.76522549124252937</c:v>
                </c:pt>
                <c:pt idx="49">
                  <c:v>0.96215714928217633</c:v>
                </c:pt>
                <c:pt idx="50">
                  <c:v>0.62868841852793622</c:v>
                </c:pt>
                <c:pt idx="51">
                  <c:v>0.74796680114743275</c:v>
                </c:pt>
                <c:pt idx="52">
                  <c:v>0.79738767878075301</c:v>
                </c:pt>
                <c:pt idx="53">
                  <c:v>0.73404961350185172</c:v>
                </c:pt>
                <c:pt idx="54">
                  <c:v>0.60743530741231488</c:v>
                </c:pt>
                <c:pt idx="55">
                  <c:v>0.8650352134745658</c:v>
                </c:pt>
                <c:pt idx="56">
                  <c:v>1.0012461292352928</c:v>
                </c:pt>
                <c:pt idx="57">
                  <c:v>0.97461438302764591</c:v>
                </c:pt>
                <c:pt idx="58">
                  <c:v>0.99612172828965573</c:v>
                </c:pt>
                <c:pt idx="59">
                  <c:v>0.82733846362037955</c:v>
                </c:pt>
                <c:pt idx="60">
                  <c:v>1.1411657583616472</c:v>
                </c:pt>
                <c:pt idx="61">
                  <c:v>0.90306005473540996</c:v>
                </c:pt>
                <c:pt idx="62">
                  <c:v>0.79322356877192224</c:v>
                </c:pt>
                <c:pt idx="63">
                  <c:v>0.83428749264390678</c:v>
                </c:pt>
                <c:pt idx="64">
                  <c:v>0.73121048210483686</c:v>
                </c:pt>
                <c:pt idx="65">
                  <c:v>0.83280335559701868</c:v>
                </c:pt>
                <c:pt idx="66">
                  <c:v>0.96847330058491377</c:v>
                </c:pt>
                <c:pt idx="67">
                  <c:v>1.1365145754892794</c:v>
                </c:pt>
                <c:pt idx="68">
                  <c:v>0.91884915267606537</c:v>
                </c:pt>
                <c:pt idx="69">
                  <c:v>1.0722530481961261</c:v>
                </c:pt>
                <c:pt idx="70">
                  <c:v>0.88922276941205602</c:v>
                </c:pt>
                <c:pt idx="71">
                  <c:v>0.77338482237424877</c:v>
                </c:pt>
                <c:pt idx="72">
                  <c:v>0.91412040595854016</c:v>
                </c:pt>
                <c:pt idx="73">
                  <c:v>0.75556931512871994</c:v>
                </c:pt>
                <c:pt idx="74">
                  <c:v>0.82531123369384662</c:v>
                </c:pt>
                <c:pt idx="75">
                  <c:v>1.0355572181595321</c:v>
                </c:pt>
                <c:pt idx="76">
                  <c:v>0.95557329449543182</c:v>
                </c:pt>
                <c:pt idx="77">
                  <c:v>0.89895610148760063</c:v>
                </c:pt>
                <c:pt idx="78">
                  <c:v>0.89039047392027548</c:v>
                </c:pt>
                <c:pt idx="79">
                  <c:v>0.74006092265331969</c:v>
                </c:pt>
                <c:pt idx="80">
                  <c:v>0.75086483843243457</c:v>
                </c:pt>
                <c:pt idx="81">
                  <c:v>1.0684961558293331</c:v>
                </c:pt>
                <c:pt idx="82">
                  <c:v>0.94830377120582909</c:v>
                </c:pt>
                <c:pt idx="83">
                  <c:v>0.91224560852715353</c:v>
                </c:pt>
                <c:pt idx="84">
                  <c:v>0.88059632016994627</c:v>
                </c:pt>
                <c:pt idx="85">
                  <c:v>0.78724625813575866</c:v>
                </c:pt>
                <c:pt idx="86">
                  <c:v>0.65568540626362015</c:v>
                </c:pt>
                <c:pt idx="87">
                  <c:v>0.89777059095963008</c:v>
                </c:pt>
                <c:pt idx="88">
                  <c:v>0.8733663948529955</c:v>
                </c:pt>
                <c:pt idx="89">
                  <c:v>0.92131377597934971</c:v>
                </c:pt>
                <c:pt idx="90">
                  <c:v>0.92415883937405319</c:v>
                </c:pt>
                <c:pt idx="91">
                  <c:v>0.76700918907173588</c:v>
                </c:pt>
                <c:pt idx="92">
                  <c:v>0.80524761037753567</c:v>
                </c:pt>
                <c:pt idx="93">
                  <c:v>0.8726463720794726</c:v>
                </c:pt>
                <c:pt idx="94">
                  <c:v>1.1331694108274544</c:v>
                </c:pt>
                <c:pt idx="95">
                  <c:v>0.94557626669750228</c:v>
                </c:pt>
                <c:pt idx="96">
                  <c:v>0.77605492667112586</c:v>
                </c:pt>
                <c:pt idx="97">
                  <c:v>0.6291974386305208</c:v>
                </c:pt>
                <c:pt idx="98">
                  <c:v>0.75043342106599997</c:v>
                </c:pt>
                <c:pt idx="99">
                  <c:v>0.91804367768810113</c:v>
                </c:pt>
                <c:pt idx="100">
                  <c:v>0.86699176476989415</c:v>
                </c:pt>
                <c:pt idx="101">
                  <c:v>0.86186075257462491</c:v>
                </c:pt>
                <c:pt idx="102">
                  <c:v>1.2969597139287083</c:v>
                </c:pt>
                <c:pt idx="103">
                  <c:v>0.66514920661645505</c:v>
                </c:pt>
                <c:pt idx="104">
                  <c:v>0.76964929659148495</c:v>
                </c:pt>
                <c:pt idx="105">
                  <c:v>0.6731917308554598</c:v>
                </c:pt>
                <c:pt idx="106">
                  <c:v>0.91931856406803369</c:v>
                </c:pt>
                <c:pt idx="107">
                  <c:v>0.82879093586683972</c:v>
                </c:pt>
                <c:pt idx="108">
                  <c:v>1.0148728114684546</c:v>
                </c:pt>
                <c:pt idx="109">
                  <c:v>0.76286207188217059</c:v>
                </c:pt>
                <c:pt idx="110">
                  <c:v>0.7491095401428467</c:v>
                </c:pt>
                <c:pt idx="111">
                  <c:v>0.97505446580348565</c:v>
                </c:pt>
                <c:pt idx="112">
                  <c:v>0.76322542024371298</c:v>
                </c:pt>
                <c:pt idx="113">
                  <c:v>0.97851129736835141</c:v>
                </c:pt>
                <c:pt idx="114">
                  <c:v>0.98796781232100894</c:v>
                </c:pt>
                <c:pt idx="115">
                  <c:v>1.1335129866061049</c:v>
                </c:pt>
                <c:pt idx="116">
                  <c:v>0.86660770651631402</c:v>
                </c:pt>
                <c:pt idx="117">
                  <c:v>0.63699686322948157</c:v>
                </c:pt>
                <c:pt idx="118">
                  <c:v>0.89236834715340763</c:v>
                </c:pt>
                <c:pt idx="119">
                  <c:v>0.77825961867333682</c:v>
                </c:pt>
                <c:pt idx="120">
                  <c:v>1.0041355035706934</c:v>
                </c:pt>
                <c:pt idx="121">
                  <c:v>0.9724277842443465</c:v>
                </c:pt>
                <c:pt idx="122">
                  <c:v>0.78990797976405247</c:v>
                </c:pt>
                <c:pt idx="123">
                  <c:v>0.80517473635233827</c:v>
                </c:pt>
                <c:pt idx="124">
                  <c:v>0.74755427462204693</c:v>
                </c:pt>
                <c:pt idx="125">
                  <c:v>0.93754012717659485</c:v>
                </c:pt>
                <c:pt idx="126">
                  <c:v>0.72730712708436052</c:v>
                </c:pt>
                <c:pt idx="127">
                  <c:v>1.0344076609826507</c:v>
                </c:pt>
                <c:pt idx="128">
                  <c:v>0.76745424614433411</c:v>
                </c:pt>
                <c:pt idx="129">
                  <c:v>0.59594603780001965</c:v>
                </c:pt>
                <c:pt idx="130">
                  <c:v>0.76493158525302452</c:v>
                </c:pt>
                <c:pt idx="131">
                  <c:v>0.91144325737400234</c:v>
                </c:pt>
                <c:pt idx="132">
                  <c:v>1.0790625963134293</c:v>
                </c:pt>
                <c:pt idx="133">
                  <c:v>1.097808050023068</c:v>
                </c:pt>
                <c:pt idx="134">
                  <c:v>0.67700099342150821</c:v>
                </c:pt>
                <c:pt idx="135">
                  <c:v>0.68826893332983019</c:v>
                </c:pt>
                <c:pt idx="136">
                  <c:v>1.1019982529562924</c:v>
                </c:pt>
                <c:pt idx="137">
                  <c:v>0.7446867495337024</c:v>
                </c:pt>
                <c:pt idx="138">
                  <c:v>0.90218294057906778</c:v>
                </c:pt>
                <c:pt idx="139">
                  <c:v>0.76062561055643929</c:v>
                </c:pt>
                <c:pt idx="140">
                  <c:v>1.0128541540517944</c:v>
                </c:pt>
                <c:pt idx="141">
                  <c:v>0.81310649047594907</c:v>
                </c:pt>
                <c:pt idx="142">
                  <c:v>0.93133705047301252</c:v>
                </c:pt>
                <c:pt idx="143">
                  <c:v>0.90223599389562104</c:v>
                </c:pt>
                <c:pt idx="144">
                  <c:v>0.92345759251079862</c:v>
                </c:pt>
                <c:pt idx="145">
                  <c:v>0.80199635790150658</c:v>
                </c:pt>
                <c:pt idx="146">
                  <c:v>1.0282006086578601</c:v>
                </c:pt>
                <c:pt idx="147">
                  <c:v>0.83783515437327871</c:v>
                </c:pt>
                <c:pt idx="148">
                  <c:v>0.8392377484421889</c:v>
                </c:pt>
                <c:pt idx="149">
                  <c:v>0.89800805886844426</c:v>
                </c:pt>
                <c:pt idx="150">
                  <c:v>0.85591519628692581</c:v>
                </c:pt>
                <c:pt idx="151">
                  <c:v>0.53125450572152122</c:v>
                </c:pt>
                <c:pt idx="152">
                  <c:v>0.962112878340319</c:v>
                </c:pt>
                <c:pt idx="153">
                  <c:v>1.1224412135227446</c:v>
                </c:pt>
                <c:pt idx="154">
                  <c:v>0.85674311239871948</c:v>
                </c:pt>
                <c:pt idx="155">
                  <c:v>0.73277140526726559</c:v>
                </c:pt>
                <c:pt idx="156">
                  <c:v>1.0020547855672062</c:v>
                </c:pt>
                <c:pt idx="157">
                  <c:v>0.6823199339275039</c:v>
                </c:pt>
                <c:pt idx="158">
                  <c:v>0.88379669812748141</c:v>
                </c:pt>
                <c:pt idx="159">
                  <c:v>1.0960206391192671</c:v>
                </c:pt>
                <c:pt idx="160">
                  <c:v>0.7453077620170685</c:v>
                </c:pt>
                <c:pt idx="161">
                  <c:v>0.6676366949282091</c:v>
                </c:pt>
                <c:pt idx="162">
                  <c:v>0.82183441695799253</c:v>
                </c:pt>
                <c:pt idx="163">
                  <c:v>1.0552955914489122</c:v>
                </c:pt>
                <c:pt idx="164">
                  <c:v>0.85168576247823946</c:v>
                </c:pt>
                <c:pt idx="165">
                  <c:v>0.55662758137355262</c:v>
                </c:pt>
                <c:pt idx="166">
                  <c:v>0.79035847883545962</c:v>
                </c:pt>
                <c:pt idx="167">
                  <c:v>0.69380211189198704</c:v>
                </c:pt>
                <c:pt idx="168">
                  <c:v>0.91347629721950874</c:v>
                </c:pt>
                <c:pt idx="169">
                  <c:v>0.7649197486167818</c:v>
                </c:pt>
                <c:pt idx="170">
                  <c:v>1.1089423658337694</c:v>
                </c:pt>
                <c:pt idx="171">
                  <c:v>0.96371683728214652</c:v>
                </c:pt>
                <c:pt idx="172">
                  <c:v>0.90238062308499156</c:v>
                </c:pt>
                <c:pt idx="173">
                  <c:v>0.74129801840553355</c:v>
                </c:pt>
                <c:pt idx="174">
                  <c:v>0.7817661668931235</c:v>
                </c:pt>
                <c:pt idx="175">
                  <c:v>0.96706886871237696</c:v>
                </c:pt>
                <c:pt idx="176">
                  <c:v>0.95466115246746508</c:v>
                </c:pt>
                <c:pt idx="177">
                  <c:v>0.87234190246864607</c:v>
                </c:pt>
                <c:pt idx="178">
                  <c:v>1.0166053668669957</c:v>
                </c:pt>
                <c:pt idx="179">
                  <c:v>0.86907415044292158</c:v>
                </c:pt>
                <c:pt idx="180">
                  <c:v>0.97812956911428817</c:v>
                </c:pt>
                <c:pt idx="181">
                  <c:v>0.86663959194610207</c:v>
                </c:pt>
                <c:pt idx="182">
                  <c:v>1.0220513814419974</c:v>
                </c:pt>
                <c:pt idx="183">
                  <c:v>0.79440108919869523</c:v>
                </c:pt>
                <c:pt idx="184">
                  <c:v>0.85272886070888987</c:v>
                </c:pt>
                <c:pt idx="185">
                  <c:v>0.80954465003854104</c:v>
                </c:pt>
                <c:pt idx="186">
                  <c:v>0.93113354502956636</c:v>
                </c:pt>
                <c:pt idx="187">
                  <c:v>0.92962415457908421</c:v>
                </c:pt>
                <c:pt idx="188">
                  <c:v>0.97929761137011262</c:v>
                </c:pt>
                <c:pt idx="189">
                  <c:v>0.85798867039857907</c:v>
                </c:pt>
                <c:pt idx="190">
                  <c:v>0.97427461484419187</c:v>
                </c:pt>
                <c:pt idx="191">
                  <c:v>1.0223383625287008</c:v>
                </c:pt>
                <c:pt idx="192">
                  <c:v>0.69650163688876532</c:v>
                </c:pt>
                <c:pt idx="193">
                  <c:v>0.99341553733521426</c:v>
                </c:pt>
                <c:pt idx="194">
                  <c:v>0.70306178842061762</c:v>
                </c:pt>
                <c:pt idx="195">
                  <c:v>0.73956035454832936</c:v>
                </c:pt>
                <c:pt idx="196">
                  <c:v>0.91794838994834027</c:v>
                </c:pt>
                <c:pt idx="197">
                  <c:v>0.9316706370967891</c:v>
                </c:pt>
                <c:pt idx="198">
                  <c:v>0.78556778124045579</c:v>
                </c:pt>
                <c:pt idx="199">
                  <c:v>0.76003744631302439</c:v>
                </c:pt>
                <c:pt idx="200">
                  <c:v>0.7738583591960122</c:v>
                </c:pt>
                <c:pt idx="201">
                  <c:v>0.96072400938043234</c:v>
                </c:pt>
                <c:pt idx="202">
                  <c:v>0.98031406694150025</c:v>
                </c:pt>
                <c:pt idx="203">
                  <c:v>0.82281021581216685</c:v>
                </c:pt>
                <c:pt idx="204">
                  <c:v>0.97201380968615325</c:v>
                </c:pt>
                <c:pt idx="205">
                  <c:v>0.80233667756370863</c:v>
                </c:pt>
                <c:pt idx="206">
                  <c:v>0.93398864936420534</c:v>
                </c:pt>
                <c:pt idx="207">
                  <c:v>0.79713794884613343</c:v>
                </c:pt>
                <c:pt idx="208">
                  <c:v>1.0803226144815081</c:v>
                </c:pt>
                <c:pt idx="209">
                  <c:v>0.97124224668363723</c:v>
                </c:pt>
                <c:pt idx="210">
                  <c:v>0.84302893072226404</c:v>
                </c:pt>
                <c:pt idx="211">
                  <c:v>0.86487096670507491</c:v>
                </c:pt>
                <c:pt idx="212">
                  <c:v>0.95495914696016015</c:v>
                </c:pt>
                <c:pt idx="213">
                  <c:v>0.60795542708144445</c:v>
                </c:pt>
                <c:pt idx="214">
                  <c:v>0.96185078632350063</c:v>
                </c:pt>
                <c:pt idx="215">
                  <c:v>0.98888875736872173</c:v>
                </c:pt>
                <c:pt idx="216">
                  <c:v>0.81250412120165638</c:v>
                </c:pt>
                <c:pt idx="217">
                  <c:v>0.79552785497351231</c:v>
                </c:pt>
                <c:pt idx="218">
                  <c:v>0.94737937627670998</c:v>
                </c:pt>
                <c:pt idx="219">
                  <c:v>0.92055791649100449</c:v>
                </c:pt>
                <c:pt idx="220">
                  <c:v>0.85317993092052102</c:v>
                </c:pt>
                <c:pt idx="221">
                  <c:v>0.76784275555901793</c:v>
                </c:pt>
                <c:pt idx="222">
                  <c:v>0.94215132053916051</c:v>
                </c:pt>
                <c:pt idx="223">
                  <c:v>0.8121353239886453</c:v>
                </c:pt>
                <c:pt idx="224">
                  <c:v>1.0110116655749142</c:v>
                </c:pt>
                <c:pt idx="225">
                  <c:v>1.0797190605325779</c:v>
                </c:pt>
                <c:pt idx="226">
                  <c:v>0.66922638727129247</c:v>
                </c:pt>
                <c:pt idx="227">
                  <c:v>0.75724107392941953</c:v>
                </c:pt>
                <c:pt idx="228">
                  <c:v>0.75945557728088797</c:v>
                </c:pt>
                <c:pt idx="229">
                  <c:v>0.7790401723654945</c:v>
                </c:pt>
                <c:pt idx="230">
                  <c:v>1.0749270863727443</c:v>
                </c:pt>
                <c:pt idx="231">
                  <c:v>1.1686390275778136</c:v>
                </c:pt>
                <c:pt idx="232">
                  <c:v>0.88401619235410234</c:v>
                </c:pt>
                <c:pt idx="233">
                  <c:v>0.82941448414710095</c:v>
                </c:pt>
                <c:pt idx="234">
                  <c:v>0.83591114376920217</c:v>
                </c:pt>
                <c:pt idx="235">
                  <c:v>0.73900317096125079</c:v>
                </c:pt>
                <c:pt idx="236">
                  <c:v>0.76783341171284558</c:v>
                </c:pt>
                <c:pt idx="237">
                  <c:v>0.67405739180529967</c:v>
                </c:pt>
                <c:pt idx="238">
                  <c:v>0.6597306541521144</c:v>
                </c:pt>
                <c:pt idx="239">
                  <c:v>0.86958346781072215</c:v>
                </c:pt>
                <c:pt idx="240">
                  <c:v>0.68402872549954985</c:v>
                </c:pt>
                <c:pt idx="241">
                  <c:v>0.69022938195702821</c:v>
                </c:pt>
                <c:pt idx="242">
                  <c:v>1.0877424925176982</c:v>
                </c:pt>
                <c:pt idx="243">
                  <c:v>0.92197418097202455</c:v>
                </c:pt>
                <c:pt idx="244">
                  <c:v>0.93011633491044687</c:v>
                </c:pt>
                <c:pt idx="245">
                  <c:v>0.57730394072887137</c:v>
                </c:pt>
                <c:pt idx="246">
                  <c:v>0.98365682673507138</c:v>
                </c:pt>
                <c:pt idx="247">
                  <c:v>1.1264974615684071</c:v>
                </c:pt>
                <c:pt idx="248">
                  <c:v>0.7577208711933352</c:v>
                </c:pt>
                <c:pt idx="249">
                  <c:v>1.0361334917283669</c:v>
                </c:pt>
                <c:pt idx="250">
                  <c:v>0.74335260232905398</c:v>
                </c:pt>
                <c:pt idx="251">
                  <c:v>1.1605470488426732</c:v>
                </c:pt>
                <c:pt idx="252">
                  <c:v>0.70657667314771899</c:v>
                </c:pt>
                <c:pt idx="253">
                  <c:v>0.6562744887754679</c:v>
                </c:pt>
                <c:pt idx="254">
                  <c:v>0.84693785454703452</c:v>
                </c:pt>
                <c:pt idx="255">
                  <c:v>0.90360454334898854</c:v>
                </c:pt>
                <c:pt idx="256">
                  <c:v>0.70374884300753493</c:v>
                </c:pt>
                <c:pt idx="257">
                  <c:v>0.75173101115805707</c:v>
                </c:pt>
                <c:pt idx="258">
                  <c:v>0.88336243051708685</c:v>
                </c:pt>
                <c:pt idx="259">
                  <c:v>0.99199121338942753</c:v>
                </c:pt>
                <c:pt idx="260">
                  <c:v>0.81664686579984203</c:v>
                </c:pt>
                <c:pt idx="261">
                  <c:v>0.90317477243723054</c:v>
                </c:pt>
                <c:pt idx="262">
                  <c:v>0.97604462797248104</c:v>
                </c:pt>
                <c:pt idx="263">
                  <c:v>0.81856540142098844</c:v>
                </c:pt>
                <c:pt idx="264">
                  <c:v>0.95262409569031803</c:v>
                </c:pt>
                <c:pt idx="265">
                  <c:v>0.66451936389556909</c:v>
                </c:pt>
                <c:pt idx="266">
                  <c:v>0.78907386181053152</c:v>
                </c:pt>
                <c:pt idx="267">
                  <c:v>0.8078355018401755</c:v>
                </c:pt>
                <c:pt idx="268">
                  <c:v>0.84595581279536347</c:v>
                </c:pt>
                <c:pt idx="269">
                  <c:v>0.88777979631368975</c:v>
                </c:pt>
                <c:pt idx="270">
                  <c:v>0.93100073573238618</c:v>
                </c:pt>
                <c:pt idx="271">
                  <c:v>1.1059786647100047</c:v>
                </c:pt>
                <c:pt idx="272">
                  <c:v>1.0778825560122476</c:v>
                </c:pt>
                <c:pt idx="273">
                  <c:v>0.81486177584269015</c:v>
                </c:pt>
                <c:pt idx="274">
                  <c:v>0.64890280527823574</c:v>
                </c:pt>
                <c:pt idx="275">
                  <c:v>0.82317057080059364</c:v>
                </c:pt>
                <c:pt idx="276">
                  <c:v>0.69778929282357716</c:v>
                </c:pt>
                <c:pt idx="277">
                  <c:v>0.98440882442965538</c:v>
                </c:pt>
                <c:pt idx="278">
                  <c:v>0.95644707485283398</c:v>
                </c:pt>
                <c:pt idx="279">
                  <c:v>1.0150273932400165</c:v>
                </c:pt>
                <c:pt idx="280">
                  <c:v>0.926659209545039</c:v>
                </c:pt>
                <c:pt idx="281">
                  <c:v>0.72470389669177049</c:v>
                </c:pt>
                <c:pt idx="282">
                  <c:v>0.75623105955779213</c:v>
                </c:pt>
                <c:pt idx="283">
                  <c:v>0.80333843965623153</c:v>
                </c:pt>
                <c:pt idx="284">
                  <c:v>0.54051176976341875</c:v>
                </c:pt>
                <c:pt idx="285">
                  <c:v>0.87516493701144782</c:v>
                </c:pt>
                <c:pt idx="286">
                  <c:v>0.90831742432363693</c:v>
                </c:pt>
                <c:pt idx="287">
                  <c:v>1.0326364148966549</c:v>
                </c:pt>
                <c:pt idx="288">
                  <c:v>0.84245905895701512</c:v>
                </c:pt>
                <c:pt idx="289">
                  <c:v>0.81943162104744438</c:v>
                </c:pt>
                <c:pt idx="290">
                  <c:v>1.2609997715225809</c:v>
                </c:pt>
                <c:pt idx="291">
                  <c:v>0.72950261633001645</c:v>
                </c:pt>
                <c:pt idx="292">
                  <c:v>0.80525980972875466</c:v>
                </c:pt>
                <c:pt idx="293">
                  <c:v>0.67791975464995868</c:v>
                </c:pt>
                <c:pt idx="294">
                  <c:v>0.91768483257317168</c:v>
                </c:pt>
                <c:pt idx="295">
                  <c:v>0.89728557430938594</c:v>
                </c:pt>
                <c:pt idx="296">
                  <c:v>0.8073856578965799</c:v>
                </c:pt>
                <c:pt idx="297">
                  <c:v>0.68810394545699616</c:v>
                </c:pt>
                <c:pt idx="298">
                  <c:v>0.91861202193545033</c:v>
                </c:pt>
                <c:pt idx="299">
                  <c:v>0.83956392413730541</c:v>
                </c:pt>
                <c:pt idx="300">
                  <c:v>0.77629716692225692</c:v>
                </c:pt>
                <c:pt idx="301">
                  <c:v>0.87692153929247674</c:v>
                </c:pt>
                <c:pt idx="302">
                  <c:v>0.81183458361839733</c:v>
                </c:pt>
                <c:pt idx="303">
                  <c:v>0.69159295420666567</c:v>
                </c:pt>
                <c:pt idx="304">
                  <c:v>0.76756366958124467</c:v>
                </c:pt>
                <c:pt idx="305">
                  <c:v>0.72909653625644566</c:v>
                </c:pt>
                <c:pt idx="306">
                  <c:v>0.75759212369982798</c:v>
                </c:pt>
                <c:pt idx="307">
                  <c:v>0.71880420130004463</c:v>
                </c:pt>
                <c:pt idx="308">
                  <c:v>0.7301350230232071</c:v>
                </c:pt>
                <c:pt idx="309">
                  <c:v>1.0378665127468825</c:v>
                </c:pt>
                <c:pt idx="310">
                  <c:v>0.80508605460172333</c:v>
                </c:pt>
                <c:pt idx="311">
                  <c:v>0.84589453265078518</c:v>
                </c:pt>
                <c:pt idx="312">
                  <c:v>1.082454936434365</c:v>
                </c:pt>
                <c:pt idx="313">
                  <c:v>0.81285611690870141</c:v>
                </c:pt>
                <c:pt idx="314">
                  <c:v>0.76195471285317229</c:v>
                </c:pt>
                <c:pt idx="315">
                  <c:v>1.0939817994891641</c:v>
                </c:pt>
                <c:pt idx="316">
                  <c:v>0.74187757505656737</c:v>
                </c:pt>
                <c:pt idx="317">
                  <c:v>0.9862510215986644</c:v>
                </c:pt>
                <c:pt idx="318">
                  <c:v>0.82897135046964721</c:v>
                </c:pt>
                <c:pt idx="319">
                  <c:v>0.84248239297868643</c:v>
                </c:pt>
                <c:pt idx="320">
                  <c:v>0.90221352488820195</c:v>
                </c:pt>
                <c:pt idx="321">
                  <c:v>1.0204576289501235</c:v>
                </c:pt>
                <c:pt idx="322">
                  <c:v>0.77142756043773009</c:v>
                </c:pt>
                <c:pt idx="323">
                  <c:v>0.84187753052162329</c:v>
                </c:pt>
                <c:pt idx="324">
                  <c:v>0.79282791298792521</c:v>
                </c:pt>
                <c:pt idx="325">
                  <c:v>0.99157841015585024</c:v>
                </c:pt>
                <c:pt idx="326">
                  <c:v>0.71580629987777478</c:v>
                </c:pt>
                <c:pt idx="327">
                  <c:v>0.81825804551350512</c:v>
                </c:pt>
                <c:pt idx="328">
                  <c:v>0.83830622971246349</c:v>
                </c:pt>
                <c:pt idx="329">
                  <c:v>0.60459867053524174</c:v>
                </c:pt>
                <c:pt idx="330">
                  <c:v>0.8229880035408712</c:v>
                </c:pt>
                <c:pt idx="331">
                  <c:v>0.73949918783151602</c:v>
                </c:pt>
                <c:pt idx="332">
                  <c:v>0.81019891083134787</c:v>
                </c:pt>
                <c:pt idx="333">
                  <c:v>1.0032753700481383</c:v>
                </c:pt>
                <c:pt idx="334">
                  <c:v>0.74778200708563958</c:v>
                </c:pt>
                <c:pt idx="335">
                  <c:v>1.1156746052748963</c:v>
                </c:pt>
                <c:pt idx="336">
                  <c:v>0.89015286944841066</c:v>
                </c:pt>
                <c:pt idx="337">
                  <c:v>0.90089872998298581</c:v>
                </c:pt>
                <c:pt idx="338">
                  <c:v>0.88060476403208199</c:v>
                </c:pt>
                <c:pt idx="339">
                  <c:v>0.67640048414538434</c:v>
                </c:pt>
                <c:pt idx="340">
                  <c:v>0.90478206392982408</c:v>
                </c:pt>
                <c:pt idx="341">
                  <c:v>1.083626098595972</c:v>
                </c:pt>
                <c:pt idx="342">
                  <c:v>0.93808001706251165</c:v>
                </c:pt>
                <c:pt idx="343">
                  <c:v>0.93464373126642375</c:v>
                </c:pt>
                <c:pt idx="344">
                  <c:v>0.83877106529048007</c:v>
                </c:pt>
                <c:pt idx="345">
                  <c:v>0.86684451670730311</c:v>
                </c:pt>
                <c:pt idx="346">
                  <c:v>1.0981500960875064</c:v>
                </c:pt>
                <c:pt idx="347">
                  <c:v>1.1118134512775324</c:v>
                </c:pt>
                <c:pt idx="348">
                  <c:v>0.81976020864608667</c:v>
                </c:pt>
                <c:pt idx="349">
                  <c:v>0.75036101359092289</c:v>
                </c:pt>
                <c:pt idx="350">
                  <c:v>0.64961161321632588</c:v>
                </c:pt>
                <c:pt idx="351">
                  <c:v>0.96519074933789906</c:v>
                </c:pt>
                <c:pt idx="352">
                  <c:v>0.67074801813893004</c:v>
                </c:pt>
                <c:pt idx="353">
                  <c:v>0.89906378338910908</c:v>
                </c:pt>
                <c:pt idx="354">
                  <c:v>0.61423393911042989</c:v>
                </c:pt>
                <c:pt idx="355">
                  <c:v>0.87396543428151929</c:v>
                </c:pt>
                <c:pt idx="356">
                  <c:v>0.74452204398804511</c:v>
                </c:pt>
                <c:pt idx="357">
                  <c:v>1.0681207595473428</c:v>
                </c:pt>
                <c:pt idx="358">
                  <c:v>0.93353589131686476</c:v>
                </c:pt>
                <c:pt idx="359">
                  <c:v>0.84303410691921066</c:v>
                </c:pt>
                <c:pt idx="360">
                  <c:v>0.97651614606359338</c:v>
                </c:pt>
                <c:pt idx="361">
                  <c:v>0.69516339751583089</c:v>
                </c:pt>
                <c:pt idx="362">
                  <c:v>0.82082020211954809</c:v>
                </c:pt>
                <c:pt idx="363">
                  <c:v>0.96208973466151715</c:v>
                </c:pt>
                <c:pt idx="364">
                  <c:v>0.9084291011043959</c:v>
                </c:pt>
                <c:pt idx="365">
                  <c:v>0.85784533422824261</c:v>
                </c:pt>
                <c:pt idx="366">
                  <c:v>0.71113830560748781</c:v>
                </c:pt>
                <c:pt idx="367">
                  <c:v>0.87226432803894127</c:v>
                </c:pt>
                <c:pt idx="368">
                  <c:v>0.80100424307307705</c:v>
                </c:pt>
                <c:pt idx="369">
                  <c:v>0.82240422192080942</c:v>
                </c:pt>
                <c:pt idx="370">
                  <c:v>0.89453293646226673</c:v>
                </c:pt>
                <c:pt idx="371">
                  <c:v>0.75586464481641791</c:v>
                </c:pt>
                <c:pt idx="372">
                  <c:v>1.047128705562768</c:v>
                </c:pt>
                <c:pt idx="373">
                  <c:v>1.1727221177007285</c:v>
                </c:pt>
                <c:pt idx="374">
                  <c:v>0.72678701243175325</c:v>
                </c:pt>
                <c:pt idx="375">
                  <c:v>0.85409894741518411</c:v>
                </c:pt>
                <c:pt idx="376">
                  <c:v>0.67863432132083723</c:v>
                </c:pt>
                <c:pt idx="377">
                  <c:v>0.76612993327943268</c:v>
                </c:pt>
                <c:pt idx="378">
                  <c:v>0.8912390674183559</c:v>
                </c:pt>
                <c:pt idx="379">
                  <c:v>0.8100733967295568</c:v>
                </c:pt>
                <c:pt idx="380">
                  <c:v>0.76671734183452234</c:v>
                </c:pt>
                <c:pt idx="381">
                  <c:v>0.66434953755434023</c:v>
                </c:pt>
                <c:pt idx="382">
                  <c:v>1.0252775823885916</c:v>
                </c:pt>
                <c:pt idx="383">
                  <c:v>0.7749005404347038</c:v>
                </c:pt>
                <c:pt idx="384">
                  <c:v>0.59364359943803713</c:v>
                </c:pt>
                <c:pt idx="385">
                  <c:v>0.87125411404655129</c:v>
                </c:pt>
                <c:pt idx="386">
                  <c:v>0.74071400175804225</c:v>
                </c:pt>
                <c:pt idx="387">
                  <c:v>0.96459572712767638</c:v>
                </c:pt>
                <c:pt idx="388">
                  <c:v>0.82554719186802039</c:v>
                </c:pt>
                <c:pt idx="389">
                  <c:v>0.61050280321953387</c:v>
                </c:pt>
                <c:pt idx="390">
                  <c:v>0.9386955320848811</c:v>
                </c:pt>
                <c:pt idx="391">
                  <c:v>1.0524403724122235</c:v>
                </c:pt>
                <c:pt idx="392">
                  <c:v>0.78477965456165677</c:v>
                </c:pt>
                <c:pt idx="393">
                  <c:v>0.607494118366942</c:v>
                </c:pt>
                <c:pt idx="394">
                  <c:v>0.91124783055223357</c:v>
                </c:pt>
                <c:pt idx="395">
                  <c:v>0.93597831068177317</c:v>
                </c:pt>
                <c:pt idx="396">
                  <c:v>0.68919575866985294</c:v>
                </c:pt>
                <c:pt idx="397">
                  <c:v>0.75303246518875433</c:v>
                </c:pt>
                <c:pt idx="398">
                  <c:v>1.0001067215348707</c:v>
                </c:pt>
                <c:pt idx="399">
                  <c:v>0.96716539528849221</c:v>
                </c:pt>
                <c:pt idx="400">
                  <c:v>0.85080381195655796</c:v>
                </c:pt>
                <c:pt idx="401">
                  <c:v>0.76502036441488031</c:v>
                </c:pt>
                <c:pt idx="402">
                  <c:v>0.85546398339326046</c:v>
                </c:pt>
                <c:pt idx="403">
                  <c:v>1.0391282539116622</c:v>
                </c:pt>
                <c:pt idx="404">
                  <c:v>0.97077499854420068</c:v>
                </c:pt>
                <c:pt idx="405">
                  <c:v>1.0223729610305581</c:v>
                </c:pt>
                <c:pt idx="406">
                  <c:v>0.68705035395911551</c:v>
                </c:pt>
                <c:pt idx="407">
                  <c:v>0.89074069168072167</c:v>
                </c:pt>
                <c:pt idx="408">
                  <c:v>0.79378413739702225</c:v>
                </c:pt>
                <c:pt idx="409">
                  <c:v>0.66414513173303114</c:v>
                </c:pt>
                <c:pt idx="410">
                  <c:v>0.84184067831704112</c:v>
                </c:pt>
                <c:pt idx="411">
                  <c:v>0.89587425992022052</c:v>
                </c:pt>
                <c:pt idx="412">
                  <c:v>0.76680301248209481</c:v>
                </c:pt>
                <c:pt idx="413">
                  <c:v>0.71154251520396627</c:v>
                </c:pt>
                <c:pt idx="414">
                  <c:v>0.67915266091504378</c:v>
                </c:pt>
                <c:pt idx="415">
                  <c:v>0.80105911249566475</c:v>
                </c:pt>
                <c:pt idx="416">
                  <c:v>0.79997266252155974</c:v>
                </c:pt>
                <c:pt idx="417">
                  <c:v>0.90666531178796195</c:v>
                </c:pt>
                <c:pt idx="418">
                  <c:v>1.0477987257903134</c:v>
                </c:pt>
                <c:pt idx="419">
                  <c:v>0.94432359033118995</c:v>
                </c:pt>
                <c:pt idx="420">
                  <c:v>0.94798785649344808</c:v>
                </c:pt>
                <c:pt idx="421">
                  <c:v>0.66527807548017126</c:v>
                </c:pt>
                <c:pt idx="422">
                  <c:v>0.8387774445754399</c:v>
                </c:pt>
                <c:pt idx="423">
                  <c:v>1.1045750793460698</c:v>
                </c:pt>
                <c:pt idx="424">
                  <c:v>1.0120824241727062</c:v>
                </c:pt>
                <c:pt idx="425">
                  <c:v>0.61479828600488151</c:v>
                </c:pt>
                <c:pt idx="426">
                  <c:v>0.93743478207228126</c:v>
                </c:pt>
                <c:pt idx="427">
                  <c:v>0.62192776301189134</c:v>
                </c:pt>
                <c:pt idx="428">
                  <c:v>0.93258023237456378</c:v>
                </c:pt>
                <c:pt idx="429">
                  <c:v>0.8875914744956237</c:v>
                </c:pt>
                <c:pt idx="430">
                  <c:v>0.87496979852308687</c:v>
                </c:pt>
                <c:pt idx="431">
                  <c:v>0.88441956961560386</c:v>
                </c:pt>
                <c:pt idx="432">
                  <c:v>0.77065755470287023</c:v>
                </c:pt>
                <c:pt idx="433">
                  <c:v>0.79387230411349563</c:v>
                </c:pt>
                <c:pt idx="434">
                  <c:v>0.7757087575752184</c:v>
                </c:pt>
                <c:pt idx="435">
                  <c:v>0.97490845008541172</c:v>
                </c:pt>
                <c:pt idx="436">
                  <c:v>0.97405070418516537</c:v>
                </c:pt>
                <c:pt idx="437">
                  <c:v>0.97311716351141353</c:v>
                </c:pt>
                <c:pt idx="438">
                  <c:v>0.95390266731260454</c:v>
                </c:pt>
                <c:pt idx="439">
                  <c:v>0.76741221211345678</c:v>
                </c:pt>
                <c:pt idx="440">
                  <c:v>0.91121228048303671</c:v>
                </c:pt>
                <c:pt idx="441">
                  <c:v>0.85439489066819085</c:v>
                </c:pt>
                <c:pt idx="442">
                  <c:v>0.79882135247546948</c:v>
                </c:pt>
                <c:pt idx="443">
                  <c:v>0.85337381140657698</c:v>
                </c:pt>
                <c:pt idx="444">
                  <c:v>0.74044086513422513</c:v>
                </c:pt>
                <c:pt idx="445">
                  <c:v>0.94600541944618044</c:v>
                </c:pt>
                <c:pt idx="446">
                  <c:v>0.82005941805358873</c:v>
                </c:pt>
                <c:pt idx="447">
                  <c:v>0.66587722528897686</c:v>
                </c:pt>
                <c:pt idx="448">
                  <c:v>0.69390146926409635</c:v>
                </c:pt>
                <c:pt idx="449">
                  <c:v>0.864103368087207</c:v>
                </c:pt>
                <c:pt idx="450">
                  <c:v>0.75029199833400551</c:v>
                </c:pt>
                <c:pt idx="451">
                  <c:v>0.80185127837957815</c:v>
                </c:pt>
                <c:pt idx="452">
                  <c:v>0.66952448045147062</c:v>
                </c:pt>
                <c:pt idx="453">
                  <c:v>0.65476015728627956</c:v>
                </c:pt>
                <c:pt idx="454">
                  <c:v>1.2051974149812752</c:v>
                </c:pt>
                <c:pt idx="455">
                  <c:v>0.74052182192077964</c:v>
                </c:pt>
                <c:pt idx="456">
                  <c:v>0.79227224789336237</c:v>
                </c:pt>
                <c:pt idx="457">
                  <c:v>0.77588006782952057</c:v>
                </c:pt>
                <c:pt idx="458">
                  <c:v>0.73824155782907575</c:v>
                </c:pt>
                <c:pt idx="459">
                  <c:v>1.0562115009774837</c:v>
                </c:pt>
                <c:pt idx="460">
                  <c:v>0.8345575747877465</c:v>
                </c:pt>
                <c:pt idx="461">
                  <c:v>0.78007794795023244</c:v>
                </c:pt>
                <c:pt idx="462">
                  <c:v>0.44442592353478982</c:v>
                </c:pt>
                <c:pt idx="463">
                  <c:v>0.99566250823178759</c:v>
                </c:pt>
                <c:pt idx="464">
                  <c:v>0.74566945154142328</c:v>
                </c:pt>
                <c:pt idx="465">
                  <c:v>0.7964021774014487</c:v>
                </c:pt>
                <c:pt idx="466">
                  <c:v>0.80051723013863008</c:v>
                </c:pt>
                <c:pt idx="467">
                  <c:v>0.75680542341756585</c:v>
                </c:pt>
                <c:pt idx="468">
                  <c:v>0.79356199254131177</c:v>
                </c:pt>
                <c:pt idx="469">
                  <c:v>0.86274979382462025</c:v>
                </c:pt>
                <c:pt idx="470">
                  <c:v>0.84050514040575397</c:v>
                </c:pt>
                <c:pt idx="471">
                  <c:v>0.90499547666845714</c:v>
                </c:pt>
                <c:pt idx="472">
                  <c:v>0.86212500243005863</c:v>
                </c:pt>
                <c:pt idx="473">
                  <c:v>0.87879845484764196</c:v>
                </c:pt>
                <c:pt idx="474">
                  <c:v>0.75937551910744627</c:v>
                </c:pt>
                <c:pt idx="475">
                  <c:v>0.8130390143178019</c:v>
                </c:pt>
                <c:pt idx="476">
                  <c:v>0.9932720919367819</c:v>
                </c:pt>
                <c:pt idx="477">
                  <c:v>0.92994271563017428</c:v>
                </c:pt>
                <c:pt idx="478">
                  <c:v>0.69175594085261949</c:v>
                </c:pt>
                <c:pt idx="479">
                  <c:v>0.95771098323664106</c:v>
                </c:pt>
                <c:pt idx="480">
                  <c:v>0.73063122706615413</c:v>
                </c:pt>
                <c:pt idx="481">
                  <c:v>0.94383069518996265</c:v>
                </c:pt>
                <c:pt idx="482">
                  <c:v>0.86034042558587487</c:v>
                </c:pt>
                <c:pt idx="483">
                  <c:v>0.8111226368588822</c:v>
                </c:pt>
                <c:pt idx="484">
                  <c:v>0.80672444441189128</c:v>
                </c:pt>
                <c:pt idx="485">
                  <c:v>0.91569294693470393</c:v>
                </c:pt>
                <c:pt idx="486">
                  <c:v>1.2288488667168718</c:v>
                </c:pt>
                <c:pt idx="487">
                  <c:v>0.74343766371105779</c:v>
                </c:pt>
                <c:pt idx="488">
                  <c:v>0.74044943136179331</c:v>
                </c:pt>
                <c:pt idx="489">
                  <c:v>0.81291627161171665</c:v>
                </c:pt>
                <c:pt idx="490">
                  <c:v>0.81346653535525704</c:v>
                </c:pt>
                <c:pt idx="491">
                  <c:v>0.87608320109816695</c:v>
                </c:pt>
                <c:pt idx="492">
                  <c:v>0.88458641010191563</c:v>
                </c:pt>
                <c:pt idx="493">
                  <c:v>0.90477787535948373</c:v>
                </c:pt>
                <c:pt idx="494">
                  <c:v>0.59361297535970081</c:v>
                </c:pt>
                <c:pt idx="495">
                  <c:v>0.83906624078934122</c:v>
                </c:pt>
                <c:pt idx="496">
                  <c:v>0.68796088193802696</c:v>
                </c:pt>
                <c:pt idx="497">
                  <c:v>0.84065681639920165</c:v>
                </c:pt>
                <c:pt idx="498">
                  <c:v>0.86485313573801292</c:v>
                </c:pt>
                <c:pt idx="499">
                  <c:v>0.84346331621622461</c:v>
                </c:pt>
                <c:pt idx="500">
                  <c:v>0.91689577272727618</c:v>
                </c:pt>
                <c:pt idx="501">
                  <c:v>0.89830163567520671</c:v>
                </c:pt>
                <c:pt idx="502">
                  <c:v>0.69487140263152902</c:v>
                </c:pt>
                <c:pt idx="503">
                  <c:v>0.66301103738601341</c:v>
                </c:pt>
                <c:pt idx="504">
                  <c:v>0.96122607302295382</c:v>
                </c:pt>
                <c:pt idx="505">
                  <c:v>0.67604332285789503</c:v>
                </c:pt>
                <c:pt idx="506">
                  <c:v>0.82095521372384717</c:v>
                </c:pt>
                <c:pt idx="507">
                  <c:v>0.80431513491058482</c:v>
                </c:pt>
                <c:pt idx="508">
                  <c:v>0.99262978557472969</c:v>
                </c:pt>
                <c:pt idx="509">
                  <c:v>0.97419781920258242</c:v>
                </c:pt>
                <c:pt idx="510">
                  <c:v>1.0209831659887598</c:v>
                </c:pt>
                <c:pt idx="511">
                  <c:v>0.90382719138401946</c:v>
                </c:pt>
                <c:pt idx="512">
                  <c:v>0.88895992326258089</c:v>
                </c:pt>
                <c:pt idx="513">
                  <c:v>0.7698467522144341</c:v>
                </c:pt>
                <c:pt idx="514">
                  <c:v>0.69163577947206356</c:v>
                </c:pt>
                <c:pt idx="515">
                  <c:v>0.76009840688815267</c:v>
                </c:pt>
                <c:pt idx="516">
                  <c:v>0.94460412910252689</c:v>
                </c:pt>
                <c:pt idx="517">
                  <c:v>0.76996487925441937</c:v>
                </c:pt>
                <c:pt idx="518">
                  <c:v>0.87591598810906923</c:v>
                </c:pt>
                <c:pt idx="519">
                  <c:v>0.8236309536258748</c:v>
                </c:pt>
                <c:pt idx="520">
                  <c:v>0.9149749752801668</c:v>
                </c:pt>
                <c:pt idx="521">
                  <c:v>0.9090557047324932</c:v>
                </c:pt>
                <c:pt idx="522">
                  <c:v>1.0985344865544429</c:v>
                </c:pt>
                <c:pt idx="523">
                  <c:v>0.59800613308523776</c:v>
                </c:pt>
                <c:pt idx="524">
                  <c:v>0.8770800935054881</c:v>
                </c:pt>
                <c:pt idx="525">
                  <c:v>0.90954957708767648</c:v>
                </c:pt>
                <c:pt idx="526">
                  <c:v>0.93501324282442511</c:v>
                </c:pt>
                <c:pt idx="527">
                  <c:v>0.9137341392591054</c:v>
                </c:pt>
                <c:pt idx="528">
                  <c:v>1.0564542673717279</c:v>
                </c:pt>
                <c:pt idx="529">
                  <c:v>0.63456779875881786</c:v>
                </c:pt>
                <c:pt idx="530">
                  <c:v>0.87425633711125084</c:v>
                </c:pt>
                <c:pt idx="531">
                  <c:v>0.93971203330740138</c:v>
                </c:pt>
                <c:pt idx="532">
                  <c:v>0.84801653847250513</c:v>
                </c:pt>
                <c:pt idx="533">
                  <c:v>0.57265379764456625</c:v>
                </c:pt>
                <c:pt idx="534">
                  <c:v>0.8102950580403725</c:v>
                </c:pt>
                <c:pt idx="535">
                  <c:v>0.88929684956804067</c:v>
                </c:pt>
                <c:pt idx="536">
                  <c:v>0.53076767705674932</c:v>
                </c:pt>
                <c:pt idx="537">
                  <c:v>1.1775688685403409</c:v>
                </c:pt>
                <c:pt idx="538">
                  <c:v>0.79942899903245657</c:v>
                </c:pt>
                <c:pt idx="539">
                  <c:v>0.73568696387973986</c:v>
                </c:pt>
                <c:pt idx="540">
                  <c:v>1.1982015790297513</c:v>
                </c:pt>
                <c:pt idx="541">
                  <c:v>1.0223438294420202</c:v>
                </c:pt>
                <c:pt idx="542">
                  <c:v>0.79708069697021244</c:v>
                </c:pt>
                <c:pt idx="543">
                  <c:v>1.0534939275532826</c:v>
                </c:pt>
                <c:pt idx="544">
                  <c:v>0.79576483543157472</c:v>
                </c:pt>
                <c:pt idx="545">
                  <c:v>0.96141926168161351</c:v>
                </c:pt>
                <c:pt idx="546">
                  <c:v>0.8794633525369342</c:v>
                </c:pt>
                <c:pt idx="547">
                  <c:v>0.81355954941887809</c:v>
                </c:pt>
                <c:pt idx="548">
                  <c:v>0.93258305647485962</c:v>
                </c:pt>
                <c:pt idx="549">
                  <c:v>0.57599994568453727</c:v>
                </c:pt>
                <c:pt idx="550">
                  <c:v>0.79231939004799301</c:v>
                </c:pt>
                <c:pt idx="551">
                  <c:v>0.97998087150715474</c:v>
                </c:pt>
                <c:pt idx="552">
                  <c:v>0.85890473145189539</c:v>
                </c:pt>
                <c:pt idx="553">
                  <c:v>0.65393398333659203</c:v>
                </c:pt>
                <c:pt idx="554">
                  <c:v>0.69635713998456694</c:v>
                </c:pt>
                <c:pt idx="555">
                  <c:v>0.9014060287256207</c:v>
                </c:pt>
                <c:pt idx="556">
                  <c:v>0.92751199894682124</c:v>
                </c:pt>
                <c:pt idx="557">
                  <c:v>0.74725495346107262</c:v>
                </c:pt>
                <c:pt idx="558">
                  <c:v>0.80929465974067405</c:v>
                </c:pt>
                <c:pt idx="559">
                  <c:v>0.58369191986058944</c:v>
                </c:pt>
                <c:pt idx="560">
                  <c:v>0.60288141305212051</c:v>
                </c:pt>
                <c:pt idx="561">
                  <c:v>0.62474265439171539</c:v>
                </c:pt>
                <c:pt idx="562">
                  <c:v>0.71053856502075341</c:v>
                </c:pt>
                <c:pt idx="563">
                  <c:v>0.88449478068991283</c:v>
                </c:pt>
                <c:pt idx="564">
                  <c:v>0.72792262375198291</c:v>
                </c:pt>
                <c:pt idx="565">
                  <c:v>1.0305271773496383</c:v>
                </c:pt>
                <c:pt idx="566">
                  <c:v>0.70392464194242521</c:v>
                </c:pt>
                <c:pt idx="567">
                  <c:v>0.91003970385866673</c:v>
                </c:pt>
                <c:pt idx="568">
                  <c:v>0.74193061823706774</c:v>
                </c:pt>
                <c:pt idx="569">
                  <c:v>0.89265438100508021</c:v>
                </c:pt>
                <c:pt idx="570">
                  <c:v>1.051914112601521</c:v>
                </c:pt>
                <c:pt idx="571">
                  <c:v>0.90025460938595359</c:v>
                </c:pt>
                <c:pt idx="572">
                  <c:v>0.86210498733229102</c:v>
                </c:pt>
                <c:pt idx="573">
                  <c:v>0.81223230359477583</c:v>
                </c:pt>
                <c:pt idx="574">
                  <c:v>0.95844175232226902</c:v>
                </c:pt>
                <c:pt idx="575">
                  <c:v>0.72247036603307979</c:v>
                </c:pt>
                <c:pt idx="576">
                  <c:v>0.685244175064053</c:v>
                </c:pt>
                <c:pt idx="577">
                  <c:v>0.98959107484690279</c:v>
                </c:pt>
                <c:pt idx="578">
                  <c:v>0.92446789180011546</c:v>
                </c:pt>
                <c:pt idx="579">
                  <c:v>0.6184429309728916</c:v>
                </c:pt>
                <c:pt idx="580">
                  <c:v>0.86270558100260786</c:v>
                </c:pt>
                <c:pt idx="581">
                  <c:v>1.0508872226240138</c:v>
                </c:pt>
                <c:pt idx="582">
                  <c:v>0.9342624634933836</c:v>
                </c:pt>
                <c:pt idx="583">
                  <c:v>0.71256419980343999</c:v>
                </c:pt>
                <c:pt idx="584">
                  <c:v>1.039239784237223</c:v>
                </c:pt>
                <c:pt idx="585">
                  <c:v>1.0008895804332729</c:v>
                </c:pt>
                <c:pt idx="586">
                  <c:v>0.84189712250348503</c:v>
                </c:pt>
                <c:pt idx="587">
                  <c:v>0.82016438830390648</c:v>
                </c:pt>
                <c:pt idx="588">
                  <c:v>0.86361405201389729</c:v>
                </c:pt>
                <c:pt idx="589">
                  <c:v>0.90263307597183662</c:v>
                </c:pt>
                <c:pt idx="590">
                  <c:v>0.8056508397276021</c:v>
                </c:pt>
                <c:pt idx="591">
                  <c:v>0.78331966982434764</c:v>
                </c:pt>
                <c:pt idx="592">
                  <c:v>0.49730712945122058</c:v>
                </c:pt>
                <c:pt idx="593">
                  <c:v>0.91178077709418837</c:v>
                </c:pt>
                <c:pt idx="594">
                  <c:v>0.87781946018894175</c:v>
                </c:pt>
                <c:pt idx="595">
                  <c:v>0.73808114198908825</c:v>
                </c:pt>
                <c:pt idx="596">
                  <c:v>0.75469806023538322</c:v>
                </c:pt>
                <c:pt idx="597">
                  <c:v>0.60982952171783644</c:v>
                </c:pt>
                <c:pt idx="598">
                  <c:v>0.93320558346128557</c:v>
                </c:pt>
                <c:pt idx="599">
                  <c:v>0.75947675278931914</c:v>
                </c:pt>
                <c:pt idx="600">
                  <c:v>0.84616101739314509</c:v>
                </c:pt>
                <c:pt idx="601">
                  <c:v>0.91988407015352891</c:v>
                </c:pt>
                <c:pt idx="602">
                  <c:v>0.62978011094035224</c:v>
                </c:pt>
                <c:pt idx="603">
                  <c:v>0.83438480401958159</c:v>
                </c:pt>
                <c:pt idx="604">
                  <c:v>0.76078350040536691</c:v>
                </c:pt>
                <c:pt idx="605">
                  <c:v>1.2088519417605301</c:v>
                </c:pt>
                <c:pt idx="606">
                  <c:v>0.8278262503497027</c:v>
                </c:pt>
                <c:pt idx="607">
                  <c:v>0.55583926066532818</c:v>
                </c:pt>
                <c:pt idx="608">
                  <c:v>1.087739915203338</c:v>
                </c:pt>
                <c:pt idx="609">
                  <c:v>0.76763419240626707</c:v>
                </c:pt>
                <c:pt idx="610">
                  <c:v>0.8408633881185148</c:v>
                </c:pt>
                <c:pt idx="611">
                  <c:v>0.79788304909718732</c:v>
                </c:pt>
                <c:pt idx="612">
                  <c:v>0.69825906140722704</c:v>
                </c:pt>
                <c:pt idx="613">
                  <c:v>0.82185366455075393</c:v>
                </c:pt>
                <c:pt idx="614">
                  <c:v>0.7877047416190246</c:v>
                </c:pt>
                <c:pt idx="615">
                  <c:v>0.97842622219045516</c:v>
                </c:pt>
                <c:pt idx="616">
                  <c:v>0.87199743048247402</c:v>
                </c:pt>
                <c:pt idx="617">
                  <c:v>0.73768949005729567</c:v>
                </c:pt>
                <c:pt idx="618">
                  <c:v>0.90173042778574874</c:v>
                </c:pt>
                <c:pt idx="619">
                  <c:v>1.1338116634232049</c:v>
                </c:pt>
                <c:pt idx="620">
                  <c:v>0.7306767908343339</c:v>
                </c:pt>
                <c:pt idx="621">
                  <c:v>0.94783469681438604</c:v>
                </c:pt>
                <c:pt idx="622">
                  <c:v>1.0083808513613892</c:v>
                </c:pt>
                <c:pt idx="623">
                  <c:v>1.0484360055836417</c:v>
                </c:pt>
                <c:pt idx="624">
                  <c:v>0.87968269144016897</c:v>
                </c:pt>
                <c:pt idx="625">
                  <c:v>0.97991234743616662</c:v>
                </c:pt>
                <c:pt idx="626">
                  <c:v>0.60436165096667338</c:v>
                </c:pt>
                <c:pt idx="627">
                  <c:v>0.9141307642349652</c:v>
                </c:pt>
                <c:pt idx="628">
                  <c:v>0.83170982239165969</c:v>
                </c:pt>
                <c:pt idx="629">
                  <c:v>0.94401560641601723</c:v>
                </c:pt>
                <c:pt idx="630">
                  <c:v>1.0415401069739563</c:v>
                </c:pt>
                <c:pt idx="631">
                  <c:v>0.95330442405953786</c:v>
                </c:pt>
                <c:pt idx="632">
                  <c:v>0.71667391562013272</c:v>
                </c:pt>
                <c:pt idx="633">
                  <c:v>1.0164568542383385</c:v>
                </c:pt>
                <c:pt idx="634">
                  <c:v>0.97012015015259667</c:v>
                </c:pt>
                <c:pt idx="635">
                  <c:v>0.9057852688978123</c:v>
                </c:pt>
                <c:pt idx="636">
                  <c:v>0.87750633027909597</c:v>
                </c:pt>
                <c:pt idx="637">
                  <c:v>0.66200038210139311</c:v>
                </c:pt>
                <c:pt idx="638">
                  <c:v>0.91262748033774432</c:v>
                </c:pt>
                <c:pt idx="639">
                  <c:v>1.1000464784377666</c:v>
                </c:pt>
                <c:pt idx="640">
                  <c:v>0.80217521707733574</c:v>
                </c:pt>
                <c:pt idx="641">
                  <c:v>0.70359611973009351</c:v>
                </c:pt>
                <c:pt idx="642">
                  <c:v>1.1541856923607625</c:v>
                </c:pt>
                <c:pt idx="643">
                  <c:v>0.96498230745067559</c:v>
                </c:pt>
                <c:pt idx="644">
                  <c:v>0.68737715450778669</c:v>
                </c:pt>
                <c:pt idx="645">
                  <c:v>1.0669467904823886</c:v>
                </c:pt>
                <c:pt idx="646">
                  <c:v>1.0287481294957157</c:v>
                </c:pt>
                <c:pt idx="647">
                  <c:v>0.59003560595424176</c:v>
                </c:pt>
                <c:pt idx="648">
                  <c:v>0.80249415049413564</c:v>
                </c:pt>
                <c:pt idx="649">
                  <c:v>1.2743598679328736</c:v>
                </c:pt>
                <c:pt idx="650">
                  <c:v>0.78091143463596779</c:v>
                </c:pt>
                <c:pt idx="651">
                  <c:v>0.64085007169256869</c:v>
                </c:pt>
                <c:pt idx="652">
                  <c:v>1.087304752952349</c:v>
                </c:pt>
                <c:pt idx="653">
                  <c:v>1.0363608671019824</c:v>
                </c:pt>
                <c:pt idx="654">
                  <c:v>0.83240896833429545</c:v>
                </c:pt>
                <c:pt idx="655">
                  <c:v>0.84280240209621926</c:v>
                </c:pt>
                <c:pt idx="656">
                  <c:v>0.67701110423877342</c:v>
                </c:pt>
                <c:pt idx="657">
                  <c:v>0.76142851891238728</c:v>
                </c:pt>
                <c:pt idx="658">
                  <c:v>0.78681713460633329</c:v>
                </c:pt>
                <c:pt idx="659">
                  <c:v>0.8527899956475089</c:v>
                </c:pt>
                <c:pt idx="660">
                  <c:v>0.69492098591963547</c:v>
                </c:pt>
                <c:pt idx="661">
                  <c:v>0.91175577946690822</c:v>
                </c:pt>
                <c:pt idx="662">
                  <c:v>0.98505076861891627</c:v>
                </c:pt>
                <c:pt idx="663">
                  <c:v>0.96367361030075838</c:v>
                </c:pt>
                <c:pt idx="664">
                  <c:v>0.79079659653386969</c:v>
                </c:pt>
                <c:pt idx="665">
                  <c:v>0.82860794382192005</c:v>
                </c:pt>
                <c:pt idx="666">
                  <c:v>1.0896794923611726</c:v>
                </c:pt>
                <c:pt idx="667">
                  <c:v>0.76400011258326916</c:v>
                </c:pt>
                <c:pt idx="668">
                  <c:v>0.59174545276575863</c:v>
                </c:pt>
                <c:pt idx="669">
                  <c:v>0.89632060366836619</c:v>
                </c:pt>
                <c:pt idx="670">
                  <c:v>1.2455772452957303</c:v>
                </c:pt>
                <c:pt idx="671">
                  <c:v>0.97016938977887612</c:v>
                </c:pt>
                <c:pt idx="672">
                  <c:v>0.68769277937708218</c:v>
                </c:pt>
                <c:pt idx="673">
                  <c:v>0.89321700322654785</c:v>
                </c:pt>
                <c:pt idx="674">
                  <c:v>0.61347150080629653</c:v>
                </c:pt>
                <c:pt idx="675">
                  <c:v>0.52869738820398737</c:v>
                </c:pt>
                <c:pt idx="676">
                  <c:v>0.94577134459523293</c:v>
                </c:pt>
                <c:pt idx="677">
                  <c:v>1.0126597757694356</c:v>
                </c:pt>
                <c:pt idx="678">
                  <c:v>1.1329466204218415</c:v>
                </c:pt>
                <c:pt idx="679">
                  <c:v>0.84852784966430139</c:v>
                </c:pt>
                <c:pt idx="680">
                  <c:v>0.82040132709311653</c:v>
                </c:pt>
                <c:pt idx="681">
                  <c:v>1.1515190001840629</c:v>
                </c:pt>
                <c:pt idx="682">
                  <c:v>0.85038608041707686</c:v>
                </c:pt>
                <c:pt idx="683">
                  <c:v>0.86043339444690936</c:v>
                </c:pt>
                <c:pt idx="684">
                  <c:v>1.0717629370830402</c:v>
                </c:pt>
                <c:pt idx="685">
                  <c:v>1.0189826882411221</c:v>
                </c:pt>
                <c:pt idx="686">
                  <c:v>0.81254195107175153</c:v>
                </c:pt>
                <c:pt idx="687">
                  <c:v>1.169911824979617</c:v>
                </c:pt>
                <c:pt idx="688">
                  <c:v>0.65224761634139128</c:v>
                </c:pt>
                <c:pt idx="689">
                  <c:v>0.85702702027329902</c:v>
                </c:pt>
                <c:pt idx="690">
                  <c:v>0.803645185993628</c:v>
                </c:pt>
                <c:pt idx="691">
                  <c:v>0.7809983944147243</c:v>
                </c:pt>
                <c:pt idx="692">
                  <c:v>0.87004863226271212</c:v>
                </c:pt>
                <c:pt idx="693">
                  <c:v>1.2698847499582619</c:v>
                </c:pt>
                <c:pt idx="694">
                  <c:v>0.80561170020315398</c:v>
                </c:pt>
                <c:pt idx="695">
                  <c:v>0.92015810635158957</c:v>
                </c:pt>
                <c:pt idx="696">
                  <c:v>0.82238292161405191</c:v>
                </c:pt>
                <c:pt idx="697">
                  <c:v>0.90233692838089752</c:v>
                </c:pt>
                <c:pt idx="698">
                  <c:v>0.89817828404506894</c:v>
                </c:pt>
                <c:pt idx="699">
                  <c:v>0.77364334918662436</c:v>
                </c:pt>
                <c:pt idx="700">
                  <c:v>0.82156853058349988</c:v>
                </c:pt>
                <c:pt idx="701">
                  <c:v>1.0327079425324328</c:v>
                </c:pt>
                <c:pt idx="702">
                  <c:v>0.97120569923014521</c:v>
                </c:pt>
                <c:pt idx="703">
                  <c:v>1.0243018309465732</c:v>
                </c:pt>
                <c:pt idx="704">
                  <c:v>1.1032043852990903</c:v>
                </c:pt>
                <c:pt idx="705">
                  <c:v>0.59934352446584249</c:v>
                </c:pt>
                <c:pt idx="706">
                  <c:v>0.92963791217044811</c:v>
                </c:pt>
                <c:pt idx="707">
                  <c:v>1.1205796185454604</c:v>
                </c:pt>
                <c:pt idx="708">
                  <c:v>0.85267685725421671</c:v>
                </c:pt>
                <c:pt idx="709">
                  <c:v>0.9793854533621742</c:v>
                </c:pt>
                <c:pt idx="710">
                  <c:v>0.798290752173477</c:v>
                </c:pt>
                <c:pt idx="711">
                  <c:v>0.97046433264115439</c:v>
                </c:pt>
                <c:pt idx="712">
                  <c:v>0.87955812712979409</c:v>
                </c:pt>
                <c:pt idx="713">
                  <c:v>0.97218077364229671</c:v>
                </c:pt>
                <c:pt idx="714">
                  <c:v>0.9444247300644415</c:v>
                </c:pt>
                <c:pt idx="715">
                  <c:v>0.71370894510921623</c:v>
                </c:pt>
                <c:pt idx="716">
                  <c:v>0.59104420861927665</c:v>
                </c:pt>
                <c:pt idx="717">
                  <c:v>0.92861664801806487</c:v>
                </c:pt>
                <c:pt idx="718">
                  <c:v>1.0270182908632082</c:v>
                </c:pt>
                <c:pt idx="719">
                  <c:v>0.66995034129236686</c:v>
                </c:pt>
                <c:pt idx="720">
                  <c:v>0.8644747476925474</c:v>
                </c:pt>
                <c:pt idx="721">
                  <c:v>1.171777517610864</c:v>
                </c:pt>
                <c:pt idx="722">
                  <c:v>0.91497213333927796</c:v>
                </c:pt>
                <c:pt idx="723">
                  <c:v>0.58388670474945403</c:v>
                </c:pt>
                <c:pt idx="724">
                  <c:v>0.67419492459803188</c:v>
                </c:pt>
                <c:pt idx="725">
                  <c:v>0.79437377052087932</c:v>
                </c:pt>
                <c:pt idx="726">
                  <c:v>1.0108146286415582</c:v>
                </c:pt>
                <c:pt idx="727">
                  <c:v>0.6544540681780493</c:v>
                </c:pt>
                <c:pt idx="728">
                  <c:v>0.8904425412645578</c:v>
                </c:pt>
                <c:pt idx="729">
                  <c:v>0.80074289941480448</c:v>
                </c:pt>
                <c:pt idx="730">
                  <c:v>0.82570656049701086</c:v>
                </c:pt>
                <c:pt idx="731">
                  <c:v>0.7613555827166687</c:v>
                </c:pt>
                <c:pt idx="732">
                  <c:v>0.80167677516075742</c:v>
                </c:pt>
                <c:pt idx="733">
                  <c:v>0.7644809685452687</c:v>
                </c:pt>
                <c:pt idx="734">
                  <c:v>1.0353598468147718</c:v>
                </c:pt>
                <c:pt idx="735">
                  <c:v>0.74936187731377402</c:v>
                </c:pt>
                <c:pt idx="736">
                  <c:v>0.87488393704998124</c:v>
                </c:pt>
                <c:pt idx="737">
                  <c:v>0.94830858885827496</c:v>
                </c:pt>
                <c:pt idx="738">
                  <c:v>0.83448188788016431</c:v>
                </c:pt>
                <c:pt idx="739">
                  <c:v>0.93976903842770909</c:v>
                </c:pt>
                <c:pt idx="740">
                  <c:v>0.89893845544366435</c:v>
                </c:pt>
                <c:pt idx="741">
                  <c:v>0.95769305376782476</c:v>
                </c:pt>
                <c:pt idx="742">
                  <c:v>0.90487112667600478</c:v>
                </c:pt>
                <c:pt idx="743">
                  <c:v>0.78036094967889902</c:v>
                </c:pt>
                <c:pt idx="744">
                  <c:v>0.73451071916168864</c:v>
                </c:pt>
                <c:pt idx="745">
                  <c:v>0.77424925645759668</c:v>
                </c:pt>
                <c:pt idx="746">
                  <c:v>1.0260614741073555</c:v>
                </c:pt>
                <c:pt idx="747">
                  <c:v>0.85911328928398856</c:v>
                </c:pt>
                <c:pt idx="748">
                  <c:v>0.82599861601481095</c:v>
                </c:pt>
                <c:pt idx="749">
                  <c:v>0.71693765719870939</c:v>
                </c:pt>
                <c:pt idx="750">
                  <c:v>0.88099177179362531</c:v>
                </c:pt>
                <c:pt idx="751">
                  <c:v>1.1013122090961653</c:v>
                </c:pt>
                <c:pt idx="752">
                  <c:v>0.86606856798596432</c:v>
                </c:pt>
                <c:pt idx="753">
                  <c:v>0.74288201024733169</c:v>
                </c:pt>
                <c:pt idx="754">
                  <c:v>1.3130321448375453</c:v>
                </c:pt>
                <c:pt idx="755">
                  <c:v>0.77357618298809427</c:v>
                </c:pt>
                <c:pt idx="756">
                  <c:v>0.72230596455219764</c:v>
                </c:pt>
                <c:pt idx="757">
                  <c:v>1.0480904870008771</c:v>
                </c:pt>
                <c:pt idx="758">
                  <c:v>0.76042826379857864</c:v>
                </c:pt>
                <c:pt idx="759">
                  <c:v>0.83814944230314836</c:v>
                </c:pt>
                <c:pt idx="760">
                  <c:v>0.87494299293253963</c:v>
                </c:pt>
                <c:pt idx="761">
                  <c:v>1.2109009462143732</c:v>
                </c:pt>
                <c:pt idx="762">
                  <c:v>1.0837110341599105</c:v>
                </c:pt>
                <c:pt idx="763">
                  <c:v>0.60901117129465909</c:v>
                </c:pt>
                <c:pt idx="764">
                  <c:v>0.88505071090034448</c:v>
                </c:pt>
                <c:pt idx="765">
                  <c:v>0.87872269778238632</c:v>
                </c:pt>
                <c:pt idx="766">
                  <c:v>0.68066252520012149</c:v>
                </c:pt>
                <c:pt idx="767">
                  <c:v>0.46041855364510553</c:v>
                </c:pt>
                <c:pt idx="768">
                  <c:v>0.80801213807082295</c:v>
                </c:pt>
                <c:pt idx="769">
                  <c:v>0.66896558065097445</c:v>
                </c:pt>
                <c:pt idx="770">
                  <c:v>0.83621425817629103</c:v>
                </c:pt>
                <c:pt idx="771">
                  <c:v>0.90743206653238051</c:v>
                </c:pt>
                <c:pt idx="772">
                  <c:v>0.87293824247171781</c:v>
                </c:pt>
                <c:pt idx="773">
                  <c:v>1.0878386751885643</c:v>
                </c:pt>
                <c:pt idx="774">
                  <c:v>0.85571908826958598</c:v>
                </c:pt>
                <c:pt idx="775">
                  <c:v>0.75397322196922367</c:v>
                </c:pt>
                <c:pt idx="776">
                  <c:v>0.75225596079206092</c:v>
                </c:pt>
                <c:pt idx="777">
                  <c:v>0.92704042881337401</c:v>
                </c:pt>
                <c:pt idx="778">
                  <c:v>0.88985108713499539</c:v>
                </c:pt>
                <c:pt idx="779">
                  <c:v>0.72323820410745299</c:v>
                </c:pt>
                <c:pt idx="780">
                  <c:v>1.2685493094781908</c:v>
                </c:pt>
                <c:pt idx="781">
                  <c:v>0.97076432590005357</c:v>
                </c:pt>
                <c:pt idx="782">
                  <c:v>1.0911107626566272</c:v>
                </c:pt>
                <c:pt idx="783">
                  <c:v>0.72209482008954584</c:v>
                </c:pt>
                <c:pt idx="784">
                  <c:v>1.0112614552242229</c:v>
                </c:pt>
                <c:pt idx="785">
                  <c:v>0.96725378969009412</c:v>
                </c:pt>
                <c:pt idx="786">
                  <c:v>0.78860159962330378</c:v>
                </c:pt>
                <c:pt idx="787">
                  <c:v>0.90146797535150824</c:v>
                </c:pt>
                <c:pt idx="788">
                  <c:v>0.700218589707303</c:v>
                </c:pt>
                <c:pt idx="789">
                  <c:v>1.0346692874225818</c:v>
                </c:pt>
                <c:pt idx="790">
                  <c:v>1.0892547344689074</c:v>
                </c:pt>
                <c:pt idx="791">
                  <c:v>0.93532677294056477</c:v>
                </c:pt>
                <c:pt idx="792">
                  <c:v>0.5773095336413343</c:v>
                </c:pt>
                <c:pt idx="793">
                  <c:v>0.86408827404490918</c:v>
                </c:pt>
                <c:pt idx="794">
                  <c:v>0.80304381992383433</c:v>
                </c:pt>
                <c:pt idx="795">
                  <c:v>0.79344387299455921</c:v>
                </c:pt>
                <c:pt idx="796">
                  <c:v>1.0036660594589373</c:v>
                </c:pt>
                <c:pt idx="797">
                  <c:v>0.81916223806802257</c:v>
                </c:pt>
                <c:pt idx="798">
                  <c:v>0.9899144023872557</c:v>
                </c:pt>
                <c:pt idx="799">
                  <c:v>0.68850100234333844</c:v>
                </c:pt>
                <c:pt idx="800">
                  <c:v>0.92524395130924653</c:v>
                </c:pt>
                <c:pt idx="801">
                  <c:v>1.0587259088900041</c:v>
                </c:pt>
                <c:pt idx="802">
                  <c:v>0.63036044537064484</c:v>
                </c:pt>
                <c:pt idx="803">
                  <c:v>0.86781779776382351</c:v>
                </c:pt>
                <c:pt idx="804">
                  <c:v>0.97604382195544304</c:v>
                </c:pt>
                <c:pt idx="805">
                  <c:v>0.76267363230533114</c:v>
                </c:pt>
                <c:pt idx="806">
                  <c:v>0.52071332721112817</c:v>
                </c:pt>
                <c:pt idx="807">
                  <c:v>0.95504398213418806</c:v>
                </c:pt>
                <c:pt idx="808">
                  <c:v>0.98685584812191962</c:v>
                </c:pt>
                <c:pt idx="809">
                  <c:v>0.89464187387807392</c:v>
                </c:pt>
                <c:pt idx="810">
                  <c:v>0.63350305558426712</c:v>
                </c:pt>
                <c:pt idx="811">
                  <c:v>0.70846351396729901</c:v>
                </c:pt>
                <c:pt idx="812">
                  <c:v>1.09501563029173</c:v>
                </c:pt>
                <c:pt idx="813">
                  <c:v>0.71550772567430876</c:v>
                </c:pt>
                <c:pt idx="814">
                  <c:v>0.76371333582089829</c:v>
                </c:pt>
                <c:pt idx="815">
                  <c:v>0.79539352944089359</c:v>
                </c:pt>
                <c:pt idx="816">
                  <c:v>0.94905840372154682</c:v>
                </c:pt>
                <c:pt idx="817">
                  <c:v>0.78926876590277928</c:v>
                </c:pt>
                <c:pt idx="818">
                  <c:v>0.80168427463400427</c:v>
                </c:pt>
                <c:pt idx="819">
                  <c:v>0.89300182192578603</c:v>
                </c:pt>
                <c:pt idx="820">
                  <c:v>0.67323699413241744</c:v>
                </c:pt>
                <c:pt idx="821">
                  <c:v>0.86884736319371125</c:v>
                </c:pt>
                <c:pt idx="822">
                  <c:v>1.073934877556324</c:v>
                </c:pt>
                <c:pt idx="823">
                  <c:v>1.0898766088380523</c:v>
                </c:pt>
                <c:pt idx="824">
                  <c:v>1.0806537495964177</c:v>
                </c:pt>
                <c:pt idx="825">
                  <c:v>0.83173469468411731</c:v>
                </c:pt>
                <c:pt idx="826">
                  <c:v>0.89394376504135842</c:v>
                </c:pt>
                <c:pt idx="827">
                  <c:v>0.96020498412803779</c:v>
                </c:pt>
                <c:pt idx="828">
                  <c:v>0.66342482301864436</c:v>
                </c:pt>
                <c:pt idx="829">
                  <c:v>0.93090645650475867</c:v>
                </c:pt>
                <c:pt idx="830">
                  <c:v>0.61846852953097731</c:v>
                </c:pt>
                <c:pt idx="831">
                  <c:v>0.94292789209097894</c:v>
                </c:pt>
                <c:pt idx="832">
                  <c:v>0.72532876532859447</c:v>
                </c:pt>
                <c:pt idx="833">
                  <c:v>0.7792709425048514</c:v>
                </c:pt>
                <c:pt idx="834">
                  <c:v>0.89964970413947221</c:v>
                </c:pt>
                <c:pt idx="835">
                  <c:v>0.85939424012567578</c:v>
                </c:pt>
                <c:pt idx="836">
                  <c:v>0.75666395707278689</c:v>
                </c:pt>
                <c:pt idx="837">
                  <c:v>1.0177853639651069</c:v>
                </c:pt>
                <c:pt idx="838">
                  <c:v>0.83517689549229601</c:v>
                </c:pt>
                <c:pt idx="839">
                  <c:v>0.80316842251019516</c:v>
                </c:pt>
                <c:pt idx="840">
                  <c:v>0.80613555838191786</c:v>
                </c:pt>
                <c:pt idx="841">
                  <c:v>0.89812452936851273</c:v>
                </c:pt>
                <c:pt idx="842">
                  <c:v>0.99579527450095462</c:v>
                </c:pt>
                <c:pt idx="843">
                  <c:v>1.0784362203209588</c:v>
                </c:pt>
                <c:pt idx="844">
                  <c:v>0.91363983856827868</c:v>
                </c:pt>
                <c:pt idx="845">
                  <c:v>0.91098810808125563</c:v>
                </c:pt>
                <c:pt idx="846">
                  <c:v>0.69612107273274049</c:v>
                </c:pt>
                <c:pt idx="847">
                  <c:v>0.82474329142253211</c:v>
                </c:pt>
                <c:pt idx="848">
                  <c:v>0.9676387373701969</c:v>
                </c:pt>
                <c:pt idx="849">
                  <c:v>0.90167451534474985</c:v>
                </c:pt>
                <c:pt idx="850">
                  <c:v>1.1324420858411681</c:v>
                </c:pt>
                <c:pt idx="851">
                  <c:v>0.80332804598376306</c:v>
                </c:pt>
                <c:pt idx="852">
                  <c:v>0.71385597832113135</c:v>
                </c:pt>
                <c:pt idx="853">
                  <c:v>1.1456180180629527</c:v>
                </c:pt>
                <c:pt idx="854">
                  <c:v>0.77553921569558071</c:v>
                </c:pt>
                <c:pt idx="855">
                  <c:v>0.86985298177404502</c:v>
                </c:pt>
                <c:pt idx="856">
                  <c:v>0.74768353929311004</c:v>
                </c:pt>
                <c:pt idx="857">
                  <c:v>0.68002754476817007</c:v>
                </c:pt>
                <c:pt idx="858">
                  <c:v>0.79024448224126154</c:v>
                </c:pt>
                <c:pt idx="859">
                  <c:v>0.97307572303861178</c:v>
                </c:pt>
                <c:pt idx="860">
                  <c:v>0.82377895137656765</c:v>
                </c:pt>
                <c:pt idx="861">
                  <c:v>1.0370801651924992</c:v>
                </c:pt>
                <c:pt idx="862">
                  <c:v>0.87491930819309882</c:v>
                </c:pt>
                <c:pt idx="863">
                  <c:v>1.0477397479441093</c:v>
                </c:pt>
                <c:pt idx="864">
                  <c:v>0.93553598525766191</c:v>
                </c:pt>
                <c:pt idx="865">
                  <c:v>1.0076495340771547</c:v>
                </c:pt>
                <c:pt idx="866">
                  <c:v>0.69496713608701732</c:v>
                </c:pt>
                <c:pt idx="867">
                  <c:v>0.78092758817130559</c:v>
                </c:pt>
                <c:pt idx="868">
                  <c:v>1.023757099034496</c:v>
                </c:pt>
                <c:pt idx="869">
                  <c:v>0.94919700381527861</c:v>
                </c:pt>
                <c:pt idx="870">
                  <c:v>0.82121360124129961</c:v>
                </c:pt>
                <c:pt idx="871">
                  <c:v>1.1743418929964218</c:v>
                </c:pt>
                <c:pt idx="872">
                  <c:v>0.76482579702110787</c:v>
                </c:pt>
                <c:pt idx="873">
                  <c:v>0.94245467090295598</c:v>
                </c:pt>
                <c:pt idx="874">
                  <c:v>0.71112686999650521</c:v>
                </c:pt>
                <c:pt idx="875">
                  <c:v>0.62769713743429101</c:v>
                </c:pt>
                <c:pt idx="876">
                  <c:v>0.78106920912449063</c:v>
                </c:pt>
                <c:pt idx="877">
                  <c:v>0.70531959018632318</c:v>
                </c:pt>
                <c:pt idx="878">
                  <c:v>0.94694879903636142</c:v>
                </c:pt>
                <c:pt idx="879">
                  <c:v>0.85542629847072682</c:v>
                </c:pt>
                <c:pt idx="880">
                  <c:v>1.0992744576993072</c:v>
                </c:pt>
                <c:pt idx="881">
                  <c:v>0.81495691055523345</c:v>
                </c:pt>
                <c:pt idx="882">
                  <c:v>0.63964969542175076</c:v>
                </c:pt>
                <c:pt idx="883">
                  <c:v>0.62279706420816083</c:v>
                </c:pt>
                <c:pt idx="884">
                  <c:v>0.76126161845127527</c:v>
                </c:pt>
                <c:pt idx="885">
                  <c:v>1.1390669459576301</c:v>
                </c:pt>
                <c:pt idx="886">
                  <c:v>1.0267206196925427</c:v>
                </c:pt>
                <c:pt idx="887">
                  <c:v>0.96391796233871041</c:v>
                </c:pt>
                <c:pt idx="888">
                  <c:v>0.88520677877819587</c:v>
                </c:pt>
                <c:pt idx="889">
                  <c:v>1.0117403648822023</c:v>
                </c:pt>
                <c:pt idx="890">
                  <c:v>0.61368071045852091</c:v>
                </c:pt>
                <c:pt idx="891">
                  <c:v>1.1458258746493781</c:v>
                </c:pt>
                <c:pt idx="892">
                  <c:v>0.69892865002371352</c:v>
                </c:pt>
                <c:pt idx="893">
                  <c:v>0.76188181736769955</c:v>
                </c:pt>
                <c:pt idx="894">
                  <c:v>1.088675343963029</c:v>
                </c:pt>
                <c:pt idx="895">
                  <c:v>1.1536848382195259</c:v>
                </c:pt>
                <c:pt idx="896">
                  <c:v>0.82723838329338228</c:v>
                </c:pt>
                <c:pt idx="897">
                  <c:v>0.99897310318747579</c:v>
                </c:pt>
                <c:pt idx="898">
                  <c:v>0.55844852889951646</c:v>
                </c:pt>
                <c:pt idx="899">
                  <c:v>0.80138816118833489</c:v>
                </c:pt>
                <c:pt idx="900">
                  <c:v>0.64434214525006972</c:v>
                </c:pt>
                <c:pt idx="901">
                  <c:v>0.82254394680150966</c:v>
                </c:pt>
                <c:pt idx="902">
                  <c:v>0.94302333938433236</c:v>
                </c:pt>
                <c:pt idx="903">
                  <c:v>0.72749127544107495</c:v>
                </c:pt>
                <c:pt idx="904">
                  <c:v>0.74448712573851683</c:v>
                </c:pt>
                <c:pt idx="905">
                  <c:v>0.73492105870735891</c:v>
                </c:pt>
                <c:pt idx="906">
                  <c:v>1.0573963187033524</c:v>
                </c:pt>
                <c:pt idx="907">
                  <c:v>0.89441762449135709</c:v>
                </c:pt>
                <c:pt idx="908">
                  <c:v>0.70147930964426219</c:v>
                </c:pt>
                <c:pt idx="909">
                  <c:v>1.0366110265092363</c:v>
                </c:pt>
                <c:pt idx="910">
                  <c:v>0.78716948497791073</c:v>
                </c:pt>
                <c:pt idx="911">
                  <c:v>0.73724076531548555</c:v>
                </c:pt>
                <c:pt idx="912">
                  <c:v>0.89436667161832695</c:v>
                </c:pt>
                <c:pt idx="913">
                  <c:v>0.75950018708054934</c:v>
                </c:pt>
                <c:pt idx="914">
                  <c:v>1.0363984563222823</c:v>
                </c:pt>
                <c:pt idx="915">
                  <c:v>0.81404548482940164</c:v>
                </c:pt>
                <c:pt idx="916">
                  <c:v>0.74628532498162858</c:v>
                </c:pt>
                <c:pt idx="917">
                  <c:v>0.93810328464584014</c:v>
                </c:pt>
                <c:pt idx="918">
                  <c:v>0.79948978211727884</c:v>
                </c:pt>
                <c:pt idx="919">
                  <c:v>1.0109017664953202</c:v>
                </c:pt>
                <c:pt idx="920">
                  <c:v>0.94324868345469959</c:v>
                </c:pt>
                <c:pt idx="921">
                  <c:v>0.69019904630690299</c:v>
                </c:pt>
                <c:pt idx="922">
                  <c:v>0.72423752454842294</c:v>
                </c:pt>
                <c:pt idx="923">
                  <c:v>0.87089921424106009</c:v>
                </c:pt>
                <c:pt idx="924">
                  <c:v>0.78224970725483356</c:v>
                </c:pt>
                <c:pt idx="925">
                  <c:v>0.80002102869165981</c:v>
                </c:pt>
                <c:pt idx="926">
                  <c:v>0.84918370745290517</c:v>
                </c:pt>
                <c:pt idx="927">
                  <c:v>0.87344393537026743</c:v>
                </c:pt>
                <c:pt idx="928">
                  <c:v>0.77075961233735057</c:v>
                </c:pt>
                <c:pt idx="929">
                  <c:v>0.61460841276275424</c:v>
                </c:pt>
                <c:pt idx="930">
                  <c:v>0.74530696334241942</c:v>
                </c:pt>
                <c:pt idx="931">
                  <c:v>0.60895481276589791</c:v>
                </c:pt>
                <c:pt idx="932">
                  <c:v>0.8667792817008646</c:v>
                </c:pt>
                <c:pt idx="933">
                  <c:v>0.9707042376634325</c:v>
                </c:pt>
                <c:pt idx="934">
                  <c:v>0.67564716081520793</c:v>
                </c:pt>
                <c:pt idx="935">
                  <c:v>0.7203843337718876</c:v>
                </c:pt>
                <c:pt idx="936">
                  <c:v>0.87968835546484758</c:v>
                </c:pt>
                <c:pt idx="937">
                  <c:v>0.81280563839003772</c:v>
                </c:pt>
                <c:pt idx="938">
                  <c:v>1.0217018564677423</c:v>
                </c:pt>
                <c:pt idx="939">
                  <c:v>0.61275363207699662</c:v>
                </c:pt>
                <c:pt idx="940">
                  <c:v>0.71564037531895153</c:v>
                </c:pt>
                <c:pt idx="941">
                  <c:v>0.83521756063771058</c:v>
                </c:pt>
                <c:pt idx="942">
                  <c:v>1.1228973306155217</c:v>
                </c:pt>
                <c:pt idx="943">
                  <c:v>0.92556190397220739</c:v>
                </c:pt>
                <c:pt idx="944">
                  <c:v>0.98895621446633086</c:v>
                </c:pt>
                <c:pt idx="945">
                  <c:v>0.87322404985620672</c:v>
                </c:pt>
                <c:pt idx="946">
                  <c:v>0.76403119443072143</c:v>
                </c:pt>
                <c:pt idx="947">
                  <c:v>1.1062686148735477</c:v>
                </c:pt>
                <c:pt idx="948">
                  <c:v>1.1737469429887026</c:v>
                </c:pt>
                <c:pt idx="949">
                  <c:v>1.180774835601083</c:v>
                </c:pt>
                <c:pt idx="950">
                  <c:v>0.66406118190755947</c:v>
                </c:pt>
                <c:pt idx="951">
                  <c:v>0.5584746047137088</c:v>
                </c:pt>
                <c:pt idx="952">
                  <c:v>1.0009779277943895</c:v>
                </c:pt>
                <c:pt idx="953">
                  <c:v>0.71876492729860786</c:v>
                </c:pt>
                <c:pt idx="954">
                  <c:v>0.87169846453542643</c:v>
                </c:pt>
                <c:pt idx="955">
                  <c:v>0.8760565872670778</c:v>
                </c:pt>
                <c:pt idx="956">
                  <c:v>0.83844516862339269</c:v>
                </c:pt>
                <c:pt idx="957">
                  <c:v>0.58191956240360199</c:v>
                </c:pt>
                <c:pt idx="958">
                  <c:v>1.2379422116857981</c:v>
                </c:pt>
                <c:pt idx="959">
                  <c:v>0.69772477831349011</c:v>
                </c:pt>
                <c:pt idx="960">
                  <c:v>0.86420139024879283</c:v>
                </c:pt>
                <c:pt idx="961">
                  <c:v>0.98671343687573199</c:v>
                </c:pt>
                <c:pt idx="962">
                  <c:v>0.874261157150519</c:v>
                </c:pt>
                <c:pt idx="963">
                  <c:v>0.77286563389208229</c:v>
                </c:pt>
                <c:pt idx="964">
                  <c:v>0.80547118115641148</c:v>
                </c:pt>
                <c:pt idx="965">
                  <c:v>0.7719016011152835</c:v>
                </c:pt>
                <c:pt idx="966">
                  <c:v>0.9586613227490588</c:v>
                </c:pt>
                <c:pt idx="967">
                  <c:v>0.96756625818413244</c:v>
                </c:pt>
                <c:pt idx="968">
                  <c:v>0.61133179455487152</c:v>
                </c:pt>
                <c:pt idx="969">
                  <c:v>0.85920672877731263</c:v>
                </c:pt>
                <c:pt idx="970">
                  <c:v>0.88133356450916622</c:v>
                </c:pt>
                <c:pt idx="971">
                  <c:v>0.79858069762059181</c:v>
                </c:pt>
                <c:pt idx="972">
                  <c:v>0.58483221292245169</c:v>
                </c:pt>
                <c:pt idx="973">
                  <c:v>0.88704208849599731</c:v>
                </c:pt>
                <c:pt idx="974">
                  <c:v>0.6813936589106806</c:v>
                </c:pt>
                <c:pt idx="975">
                  <c:v>0.85493401176395167</c:v>
                </c:pt>
                <c:pt idx="976">
                  <c:v>1.2789364097234683</c:v>
                </c:pt>
                <c:pt idx="977">
                  <c:v>0.87237139317519929</c:v>
                </c:pt>
                <c:pt idx="978">
                  <c:v>0.7960053570187835</c:v>
                </c:pt>
                <c:pt idx="979">
                  <c:v>0.88444414520267411</c:v>
                </c:pt>
                <c:pt idx="980">
                  <c:v>0.89578929969879439</c:v>
                </c:pt>
                <c:pt idx="981">
                  <c:v>0.86789171515392116</c:v>
                </c:pt>
                <c:pt idx="982">
                  <c:v>0.6320909027141326</c:v>
                </c:pt>
                <c:pt idx="983">
                  <c:v>0.97779466085445677</c:v>
                </c:pt>
                <c:pt idx="984">
                  <c:v>0.67893401535114606</c:v>
                </c:pt>
                <c:pt idx="985">
                  <c:v>0.71551750784141355</c:v>
                </c:pt>
                <c:pt idx="986">
                  <c:v>0.76917588785893276</c:v>
                </c:pt>
                <c:pt idx="987">
                  <c:v>1.1953153468811415</c:v>
                </c:pt>
                <c:pt idx="988">
                  <c:v>0.80815158511608676</c:v>
                </c:pt>
                <c:pt idx="989">
                  <c:v>1.1214772864343701</c:v>
                </c:pt>
                <c:pt idx="990">
                  <c:v>0.80430471563665229</c:v>
                </c:pt>
                <c:pt idx="991">
                  <c:v>0.88371745564336379</c:v>
                </c:pt>
                <c:pt idx="992">
                  <c:v>0.78094443358554866</c:v>
                </c:pt>
                <c:pt idx="993">
                  <c:v>0.8599627401316825</c:v>
                </c:pt>
                <c:pt idx="994">
                  <c:v>0.72925614641711256</c:v>
                </c:pt>
                <c:pt idx="995">
                  <c:v>0.75135327795607765</c:v>
                </c:pt>
                <c:pt idx="996">
                  <c:v>0.55917163533706749</c:v>
                </c:pt>
                <c:pt idx="997">
                  <c:v>0.78871678478335383</c:v>
                </c:pt>
                <c:pt idx="998">
                  <c:v>0.76609881785743728</c:v>
                </c:pt>
                <c:pt idx="999">
                  <c:v>0.7944730691802544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6625.6552955521693</c:v>
                </c:pt>
                <c:pt idx="1">
                  <c:v>6304.2759234445803</c:v>
                </c:pt>
                <c:pt idx="2">
                  <c:v>6350.6077557301069</c:v>
                </c:pt>
                <c:pt idx="3">
                  <c:v>6406.172769334331</c:v>
                </c:pt>
                <c:pt idx="4">
                  <c:v>7044.2194841078363</c:v>
                </c:pt>
                <c:pt idx="5">
                  <c:v>5612.4680133083466</c:v>
                </c:pt>
                <c:pt idx="6">
                  <c:v>5641.200085709077</c:v>
                </c:pt>
                <c:pt idx="7">
                  <c:v>7373.7596914885489</c:v>
                </c:pt>
                <c:pt idx="8">
                  <c:v>7733.3166588243721</c:v>
                </c:pt>
                <c:pt idx="9">
                  <c:v>7795.8534487816305</c:v>
                </c:pt>
                <c:pt idx="10">
                  <c:v>8407.3294273423107</c:v>
                </c:pt>
                <c:pt idx="11">
                  <c:v>7834.1742693368269</c:v>
                </c:pt>
                <c:pt idx="12">
                  <c:v>7550.9558028847969</c:v>
                </c:pt>
                <c:pt idx="13">
                  <c:v>6172.0651121738902</c:v>
                </c:pt>
                <c:pt idx="14">
                  <c:v>6336.6119916585594</c:v>
                </c:pt>
                <c:pt idx="15">
                  <c:v>7333.8856590307005</c:v>
                </c:pt>
                <c:pt idx="16">
                  <c:v>6566.8896480866533</c:v>
                </c:pt>
                <c:pt idx="17">
                  <c:v>6086.1277204039488</c:v>
                </c:pt>
                <c:pt idx="18">
                  <c:v>7290.3720866475996</c:v>
                </c:pt>
                <c:pt idx="19">
                  <c:v>6332.8186103102835</c:v>
                </c:pt>
                <c:pt idx="20">
                  <c:v>9188.0556304480451</c:v>
                </c:pt>
                <c:pt idx="21">
                  <c:v>7183.133427478987</c:v>
                </c:pt>
                <c:pt idx="22">
                  <c:v>5267.1876606014303</c:v>
                </c:pt>
                <c:pt idx="23">
                  <c:v>6377.8894538341683</c:v>
                </c:pt>
                <c:pt idx="24">
                  <c:v>5298.378218640868</c:v>
                </c:pt>
                <c:pt idx="25">
                  <c:v>7577.0159193494128</c:v>
                </c:pt>
                <c:pt idx="26">
                  <c:v>6908.1033677074629</c:v>
                </c:pt>
                <c:pt idx="27">
                  <c:v>6250.4295139773712</c:v>
                </c:pt>
                <c:pt idx="28">
                  <c:v>6475.9407922193877</c:v>
                </c:pt>
                <c:pt idx="29">
                  <c:v>5671.5563845186207</c:v>
                </c:pt>
                <c:pt idx="30">
                  <c:v>7147.0258005504738</c:v>
                </c:pt>
                <c:pt idx="31">
                  <c:v>7997.1778193998143</c:v>
                </c:pt>
                <c:pt idx="32">
                  <c:v>5059.7666810571245</c:v>
                </c:pt>
                <c:pt idx="33">
                  <c:v>6904.9500505249152</c:v>
                </c:pt>
                <c:pt idx="34">
                  <c:v>7491.868865437511</c:v>
                </c:pt>
                <c:pt idx="35">
                  <c:v>8045.0254556110031</c:v>
                </c:pt>
                <c:pt idx="36">
                  <c:v>6869.1892307363805</c:v>
                </c:pt>
                <c:pt idx="37">
                  <c:v>7806.5826495898546</c:v>
                </c:pt>
                <c:pt idx="38">
                  <c:v>6048.2781963130547</c:v>
                </c:pt>
                <c:pt idx="39">
                  <c:v>6552.1674355542582</c:v>
                </c:pt>
                <c:pt idx="40">
                  <c:v>7029.8920109582332</c:v>
                </c:pt>
                <c:pt idx="41">
                  <c:v>7157.2057497890764</c:v>
                </c:pt>
                <c:pt idx="42">
                  <c:v>7120.7095190447417</c:v>
                </c:pt>
                <c:pt idx="43">
                  <c:v>6968.924470653179</c:v>
                </c:pt>
                <c:pt idx="44">
                  <c:v>6159.1494340629897</c:v>
                </c:pt>
                <c:pt idx="45">
                  <c:v>5770.4296202855166</c:v>
                </c:pt>
                <c:pt idx="46">
                  <c:v>6199.5213571585718</c:v>
                </c:pt>
                <c:pt idx="47">
                  <c:v>6277.2356287240782</c:v>
                </c:pt>
                <c:pt idx="48">
                  <c:v>7073.5714995558556</c:v>
                </c:pt>
                <c:pt idx="49">
                  <c:v>7661.2318731546511</c:v>
                </c:pt>
                <c:pt idx="50">
                  <c:v>6223.9822062979147</c:v>
                </c:pt>
                <c:pt idx="51">
                  <c:v>7217.3914099007015</c:v>
                </c:pt>
                <c:pt idx="52">
                  <c:v>6532.1855487649909</c:v>
                </c:pt>
                <c:pt idx="53">
                  <c:v>5546.0958689054223</c:v>
                </c:pt>
                <c:pt idx="54">
                  <c:v>8471.2915962591214</c:v>
                </c:pt>
                <c:pt idx="55">
                  <c:v>6228.8516890121155</c:v>
                </c:pt>
                <c:pt idx="56">
                  <c:v>7007.3871409747517</c:v>
                </c:pt>
                <c:pt idx="57">
                  <c:v>5536.8640447233138</c:v>
                </c:pt>
                <c:pt idx="58">
                  <c:v>8124.1476694437861</c:v>
                </c:pt>
                <c:pt idx="59">
                  <c:v>5191.6048393332767</c:v>
                </c:pt>
                <c:pt idx="60">
                  <c:v>5469.6567166386103</c:v>
                </c:pt>
                <c:pt idx="61">
                  <c:v>7597.9534854125068</c:v>
                </c:pt>
                <c:pt idx="62">
                  <c:v>7508.3874273809433</c:v>
                </c:pt>
                <c:pt idx="63">
                  <c:v>6390.360015436394</c:v>
                </c:pt>
                <c:pt idx="64">
                  <c:v>6755.9049169540503</c:v>
                </c:pt>
                <c:pt idx="65">
                  <c:v>6520.7306946674616</c:v>
                </c:pt>
                <c:pt idx="66">
                  <c:v>5449.7361294677303</c:v>
                </c:pt>
                <c:pt idx="67">
                  <c:v>5183.4709594612104</c:v>
                </c:pt>
                <c:pt idx="68">
                  <c:v>7711.2400383087825</c:v>
                </c:pt>
                <c:pt idx="69">
                  <c:v>5672.5192053628653</c:v>
                </c:pt>
                <c:pt idx="70">
                  <c:v>6932.5503919272851</c:v>
                </c:pt>
                <c:pt idx="71">
                  <c:v>4821.2042175649603</c:v>
                </c:pt>
                <c:pt idx="72">
                  <c:v>7096.9674614924816</c:v>
                </c:pt>
                <c:pt idx="73">
                  <c:v>7777.1587234612143</c:v>
                </c:pt>
                <c:pt idx="74">
                  <c:v>6542.4381373567339</c:v>
                </c:pt>
                <c:pt idx="75">
                  <c:v>6619.1500968490491</c:v>
                </c:pt>
                <c:pt idx="76">
                  <c:v>7442.3175969652075</c:v>
                </c:pt>
                <c:pt idx="77">
                  <c:v>6950.6213969198925</c:v>
                </c:pt>
                <c:pt idx="78">
                  <c:v>6253.3599242981009</c:v>
                </c:pt>
                <c:pt idx="79">
                  <c:v>6642.5654303657939</c:v>
                </c:pt>
                <c:pt idx="80">
                  <c:v>6522.2694341564238</c:v>
                </c:pt>
                <c:pt idx="81">
                  <c:v>6285.1752017575745</c:v>
                </c:pt>
                <c:pt idx="82">
                  <c:v>7263.4447856811785</c:v>
                </c:pt>
                <c:pt idx="83">
                  <c:v>5986.4257948813793</c:v>
                </c:pt>
                <c:pt idx="84">
                  <c:v>6157.4228578895618</c:v>
                </c:pt>
                <c:pt idx="85">
                  <c:v>8126.9741150121681</c:v>
                </c:pt>
                <c:pt idx="86">
                  <c:v>6306.0412074563283</c:v>
                </c:pt>
                <c:pt idx="87">
                  <c:v>6667.1268774302935</c:v>
                </c:pt>
                <c:pt idx="88">
                  <c:v>6210.1751777234003</c:v>
                </c:pt>
                <c:pt idx="89">
                  <c:v>6742.1595441696172</c:v>
                </c:pt>
                <c:pt idx="90">
                  <c:v>6302.4015406772105</c:v>
                </c:pt>
                <c:pt idx="91">
                  <c:v>8289.9587289156007</c:v>
                </c:pt>
                <c:pt idx="92">
                  <c:v>5400.1620042478335</c:v>
                </c:pt>
                <c:pt idx="93">
                  <c:v>6461.4713802934239</c:v>
                </c:pt>
                <c:pt idx="94">
                  <c:v>5698.1287072523319</c:v>
                </c:pt>
                <c:pt idx="95">
                  <c:v>7227.8809020632525</c:v>
                </c:pt>
                <c:pt idx="96">
                  <c:v>8701.3819037280336</c:v>
                </c:pt>
                <c:pt idx="97">
                  <c:v>8441.1142365851065</c:v>
                </c:pt>
                <c:pt idx="98">
                  <c:v>6675.6401174220173</c:v>
                </c:pt>
                <c:pt idx="99">
                  <c:v>5068.0490858842568</c:v>
                </c:pt>
                <c:pt idx="100">
                  <c:v>7724.8731679681896</c:v>
                </c:pt>
                <c:pt idx="101">
                  <c:v>6096.432330576501</c:v>
                </c:pt>
                <c:pt idx="102">
                  <c:v>7105.2275004811454</c:v>
                </c:pt>
                <c:pt idx="103">
                  <c:v>9405.9686731447091</c:v>
                </c:pt>
                <c:pt idx="104">
                  <c:v>5985.1278134109234</c:v>
                </c:pt>
                <c:pt idx="105">
                  <c:v>7023.3001371498649</c:v>
                </c:pt>
                <c:pt idx="106">
                  <c:v>7600.4434930292919</c:v>
                </c:pt>
                <c:pt idx="107">
                  <c:v>6194.6400452660828</c:v>
                </c:pt>
                <c:pt idx="108">
                  <c:v>8125.4593135988489</c:v>
                </c:pt>
                <c:pt idx="109">
                  <c:v>6024.8614204029691</c:v>
                </c:pt>
                <c:pt idx="110">
                  <c:v>9685.2816570603209</c:v>
                </c:pt>
                <c:pt idx="111">
                  <c:v>6166.4289771353415</c:v>
                </c:pt>
                <c:pt idx="112">
                  <c:v>6759.6238428285233</c:v>
                </c:pt>
                <c:pt idx="113">
                  <c:v>5716.5016863992842</c:v>
                </c:pt>
                <c:pt idx="114">
                  <c:v>6618.6298145471737</c:v>
                </c:pt>
                <c:pt idx="115">
                  <c:v>5899.8460894787404</c:v>
                </c:pt>
                <c:pt idx="116">
                  <c:v>7569.1120178089295</c:v>
                </c:pt>
                <c:pt idx="117">
                  <c:v>6721.6792783983474</c:v>
                </c:pt>
                <c:pt idx="118">
                  <c:v>6604.0028243960496</c:v>
                </c:pt>
                <c:pt idx="119">
                  <c:v>6162.3288974761017</c:v>
                </c:pt>
                <c:pt idx="120">
                  <c:v>6256.8829130803824</c:v>
                </c:pt>
                <c:pt idx="121">
                  <c:v>7625.3137867467231</c:v>
                </c:pt>
                <c:pt idx="122">
                  <c:v>7008.0184168171745</c:v>
                </c:pt>
                <c:pt idx="123">
                  <c:v>6097.6339458804887</c:v>
                </c:pt>
                <c:pt idx="124">
                  <c:v>7148.8531198567925</c:v>
                </c:pt>
                <c:pt idx="125">
                  <c:v>8625.6949649191574</c:v>
                </c:pt>
                <c:pt idx="126">
                  <c:v>7556.025165802339</c:v>
                </c:pt>
                <c:pt idx="127">
                  <c:v>6721.4993420153824</c:v>
                </c:pt>
                <c:pt idx="128">
                  <c:v>7963.0766372783492</c:v>
                </c:pt>
                <c:pt idx="129">
                  <c:v>6338.4270021284319</c:v>
                </c:pt>
                <c:pt idx="130">
                  <c:v>6598.6759241830332</c:v>
                </c:pt>
                <c:pt idx="131">
                  <c:v>7932.0120101918947</c:v>
                </c:pt>
                <c:pt idx="132">
                  <c:v>5608.3154222896173</c:v>
                </c:pt>
                <c:pt idx="133">
                  <c:v>6355.2742891026264</c:v>
                </c:pt>
                <c:pt idx="134">
                  <c:v>5723.1495222423309</c:v>
                </c:pt>
                <c:pt idx="135">
                  <c:v>9307.2367715459277</c:v>
                </c:pt>
                <c:pt idx="136">
                  <c:v>8309.9568607572874</c:v>
                </c:pt>
                <c:pt idx="137">
                  <c:v>8323.5895048484508</c:v>
                </c:pt>
                <c:pt idx="138">
                  <c:v>7622.5688904495328</c:v>
                </c:pt>
                <c:pt idx="139">
                  <c:v>7432.533299763476</c:v>
                </c:pt>
                <c:pt idx="140">
                  <c:v>6505.3186171014295</c:v>
                </c:pt>
                <c:pt idx="141">
                  <c:v>8546.4622542124089</c:v>
                </c:pt>
                <c:pt idx="142">
                  <c:v>6299.9212414091271</c:v>
                </c:pt>
                <c:pt idx="143">
                  <c:v>6529.8868602752646</c:v>
                </c:pt>
                <c:pt idx="144">
                  <c:v>6710.6542970971623</c:v>
                </c:pt>
                <c:pt idx="145">
                  <c:v>10021.569739900633</c:v>
                </c:pt>
                <c:pt idx="146">
                  <c:v>8519.5480668986183</c:v>
                </c:pt>
                <c:pt idx="147">
                  <c:v>6223.343306150452</c:v>
                </c:pt>
                <c:pt idx="148">
                  <c:v>7783.4783321139221</c:v>
                </c:pt>
                <c:pt idx="149">
                  <c:v>5520.7484816343058</c:v>
                </c:pt>
                <c:pt idx="150">
                  <c:v>6663.5068076371153</c:v>
                </c:pt>
                <c:pt idx="151">
                  <c:v>7415.6426435879703</c:v>
                </c:pt>
                <c:pt idx="152">
                  <c:v>5683.0629609927855</c:v>
                </c:pt>
                <c:pt idx="153">
                  <c:v>8020.256421372691</c:v>
                </c:pt>
                <c:pt idx="154">
                  <c:v>8134.2010769126146</c:v>
                </c:pt>
                <c:pt idx="155">
                  <c:v>8783.4463691365163</c:v>
                </c:pt>
                <c:pt idx="156">
                  <c:v>6914.2922740431486</c:v>
                </c:pt>
                <c:pt idx="157">
                  <c:v>7157.7431872880697</c:v>
                </c:pt>
                <c:pt idx="158">
                  <c:v>8487.4893171731273</c:v>
                </c:pt>
                <c:pt idx="159">
                  <c:v>8168.3317118995838</c:v>
                </c:pt>
                <c:pt idx="160">
                  <c:v>7527.7409131728473</c:v>
                </c:pt>
                <c:pt idx="161">
                  <c:v>7246.4637296427245</c:v>
                </c:pt>
                <c:pt idx="162">
                  <c:v>6627.7614547151534</c:v>
                </c:pt>
                <c:pt idx="163">
                  <c:v>5173.1545035040162</c:v>
                </c:pt>
                <c:pt idx="164">
                  <c:v>7368.9797694865829</c:v>
                </c:pt>
                <c:pt idx="165">
                  <c:v>6113.3080703476826</c:v>
                </c:pt>
                <c:pt idx="166">
                  <c:v>6311.0497862924658</c:v>
                </c:pt>
                <c:pt idx="167">
                  <c:v>6969.6413598648824</c:v>
                </c:pt>
                <c:pt idx="168">
                  <c:v>5931.004145741801</c:v>
                </c:pt>
                <c:pt idx="169">
                  <c:v>7635.5124084905092</c:v>
                </c:pt>
                <c:pt idx="170">
                  <c:v>7142.1574824233885</c:v>
                </c:pt>
                <c:pt idx="171">
                  <c:v>6113.7861873631264</c:v>
                </c:pt>
                <c:pt idx="172">
                  <c:v>6565.2715330928568</c:v>
                </c:pt>
                <c:pt idx="173">
                  <c:v>9890.3184016370815</c:v>
                </c:pt>
                <c:pt idx="174">
                  <c:v>5556.2695639778976</c:v>
                </c:pt>
                <c:pt idx="175">
                  <c:v>6651.8196514386582</c:v>
                </c:pt>
                <c:pt idx="176">
                  <c:v>5821.6445995942813</c:v>
                </c:pt>
                <c:pt idx="177">
                  <c:v>6964.8267324289136</c:v>
                </c:pt>
                <c:pt idx="178">
                  <c:v>4485.4709318890382</c:v>
                </c:pt>
                <c:pt idx="179">
                  <c:v>7507.6622535448023</c:v>
                </c:pt>
                <c:pt idx="180">
                  <c:v>7183.7187539578636</c:v>
                </c:pt>
                <c:pt idx="181">
                  <c:v>5656.9078347404202</c:v>
                </c:pt>
                <c:pt idx="182">
                  <c:v>5429.6023098157202</c:v>
                </c:pt>
                <c:pt idx="183">
                  <c:v>8719.8859755580561</c:v>
                </c:pt>
                <c:pt idx="184">
                  <c:v>6717.3787172367538</c:v>
                </c:pt>
                <c:pt idx="185">
                  <c:v>4702.1777749798512</c:v>
                </c:pt>
                <c:pt idx="186">
                  <c:v>6466.7401576265165</c:v>
                </c:pt>
                <c:pt idx="187">
                  <c:v>6576.817170573122</c:v>
                </c:pt>
                <c:pt idx="188">
                  <c:v>6125.6840805635238</c:v>
                </c:pt>
                <c:pt idx="189">
                  <c:v>6153.4850681090247</c:v>
                </c:pt>
                <c:pt idx="190">
                  <c:v>7415.0245117861341</c:v>
                </c:pt>
                <c:pt idx="191">
                  <c:v>5340.4963185703655</c:v>
                </c:pt>
                <c:pt idx="192">
                  <c:v>6340.0654145973858</c:v>
                </c:pt>
                <c:pt idx="193">
                  <c:v>5878.7140511049165</c:v>
                </c:pt>
                <c:pt idx="194">
                  <c:v>5578.9238618053787</c:v>
                </c:pt>
                <c:pt idx="195">
                  <c:v>6763.7173073915674</c:v>
                </c:pt>
                <c:pt idx="196">
                  <c:v>7240.9994456668464</c:v>
                </c:pt>
                <c:pt idx="197">
                  <c:v>6295.4805049022671</c:v>
                </c:pt>
                <c:pt idx="198">
                  <c:v>4223.8446648307017</c:v>
                </c:pt>
                <c:pt idx="199">
                  <c:v>8515.4854852185399</c:v>
                </c:pt>
                <c:pt idx="200">
                  <c:v>8236.7200764859608</c:v>
                </c:pt>
                <c:pt idx="201">
                  <c:v>6850.975206473533</c:v>
                </c:pt>
                <c:pt idx="202">
                  <c:v>8959.5255929413252</c:v>
                </c:pt>
                <c:pt idx="203">
                  <c:v>6665.1149332093601</c:v>
                </c:pt>
                <c:pt idx="204">
                  <c:v>6822.9610745581958</c:v>
                </c:pt>
                <c:pt idx="205">
                  <c:v>7448.4532839877138</c:v>
                </c:pt>
                <c:pt idx="206">
                  <c:v>6342.1583393204583</c:v>
                </c:pt>
                <c:pt idx="207">
                  <c:v>6087.688690160373</c:v>
                </c:pt>
                <c:pt idx="208">
                  <c:v>7100.0470700981959</c:v>
                </c:pt>
                <c:pt idx="209">
                  <c:v>6639.5284672399775</c:v>
                </c:pt>
                <c:pt idx="210">
                  <c:v>7999.6691197064993</c:v>
                </c:pt>
                <c:pt idx="211">
                  <c:v>7546.2745720567837</c:v>
                </c:pt>
                <c:pt idx="212">
                  <c:v>6601.2006319222965</c:v>
                </c:pt>
                <c:pt idx="213">
                  <c:v>9661.2892085638814</c:v>
                </c:pt>
                <c:pt idx="214">
                  <c:v>6898.3688225019005</c:v>
                </c:pt>
                <c:pt idx="215">
                  <c:v>5693.768233343324</c:v>
                </c:pt>
                <c:pt idx="216">
                  <c:v>8938.5696380504887</c:v>
                </c:pt>
                <c:pt idx="217">
                  <c:v>8051.2564782843256</c:v>
                </c:pt>
                <c:pt idx="218">
                  <c:v>7257.7055543798087</c:v>
                </c:pt>
                <c:pt idx="219">
                  <c:v>6153.6367443138297</c:v>
                </c:pt>
                <c:pt idx="220">
                  <c:v>5626.7440897507367</c:v>
                </c:pt>
                <c:pt idx="221">
                  <c:v>7216.7251368457364</c:v>
                </c:pt>
                <c:pt idx="222">
                  <c:v>6992.3799496790853</c:v>
                </c:pt>
                <c:pt idx="223">
                  <c:v>6110.5225957731072</c:v>
                </c:pt>
                <c:pt idx="224">
                  <c:v>6820.5927175319357</c:v>
                </c:pt>
                <c:pt idx="225">
                  <c:v>5714.2496873744076</c:v>
                </c:pt>
                <c:pt idx="226">
                  <c:v>8331.3540744934544</c:v>
                </c:pt>
                <c:pt idx="227">
                  <c:v>6649.1312919031143</c:v>
                </c:pt>
                <c:pt idx="228">
                  <c:v>5836.5771219502585</c:v>
                </c:pt>
                <c:pt idx="229">
                  <c:v>7933.9411626588881</c:v>
                </c:pt>
                <c:pt idx="230">
                  <c:v>5900.9349001052797</c:v>
                </c:pt>
                <c:pt idx="231">
                  <c:v>6669.7029944106926</c:v>
                </c:pt>
                <c:pt idx="232">
                  <c:v>5770.5542535738987</c:v>
                </c:pt>
                <c:pt idx="233">
                  <c:v>5646.3019589277756</c:v>
                </c:pt>
                <c:pt idx="234">
                  <c:v>5367.6737061498934</c:v>
                </c:pt>
                <c:pt idx="235">
                  <c:v>6983.0354174009972</c:v>
                </c:pt>
                <c:pt idx="236">
                  <c:v>6499.0095178032807</c:v>
                </c:pt>
                <c:pt idx="237">
                  <c:v>8148.0429094143255</c:v>
                </c:pt>
                <c:pt idx="238">
                  <c:v>6879.2606984745416</c:v>
                </c:pt>
                <c:pt idx="239">
                  <c:v>7344.2229434717792</c:v>
                </c:pt>
                <c:pt idx="240">
                  <c:v>4064.8702070521358</c:v>
                </c:pt>
                <c:pt idx="241">
                  <c:v>8385.4361239041755</c:v>
                </c:pt>
                <c:pt idx="242">
                  <c:v>11273.192174058031</c:v>
                </c:pt>
                <c:pt idx="243">
                  <c:v>7159.2643579959768</c:v>
                </c:pt>
                <c:pt idx="244">
                  <c:v>8349.4362251802977</c:v>
                </c:pt>
                <c:pt idx="245">
                  <c:v>7764.8639333673418</c:v>
                </c:pt>
                <c:pt idx="246">
                  <c:v>7965.2232577889699</c:v>
                </c:pt>
                <c:pt idx="247">
                  <c:v>5426.5005563826453</c:v>
                </c:pt>
                <c:pt idx="248">
                  <c:v>8088.3979287998773</c:v>
                </c:pt>
                <c:pt idx="249">
                  <c:v>4977.8045395815825</c:v>
                </c:pt>
                <c:pt idx="250">
                  <c:v>6576.4773780761043</c:v>
                </c:pt>
                <c:pt idx="251">
                  <c:v>5876.0310601018191</c:v>
                </c:pt>
                <c:pt idx="252">
                  <c:v>6727.8192683819689</c:v>
                </c:pt>
                <c:pt idx="253">
                  <c:v>7667.5853067642529</c:v>
                </c:pt>
                <c:pt idx="254">
                  <c:v>8127.1181967037646</c:v>
                </c:pt>
                <c:pt idx="255">
                  <c:v>5827.0659761977495</c:v>
                </c:pt>
                <c:pt idx="256">
                  <c:v>5864.1357022073535</c:v>
                </c:pt>
                <c:pt idx="257">
                  <c:v>9012.0529335016709</c:v>
                </c:pt>
                <c:pt idx="258">
                  <c:v>6443.2521660852453</c:v>
                </c:pt>
                <c:pt idx="259">
                  <c:v>5329.3925940482841</c:v>
                </c:pt>
                <c:pt idx="260">
                  <c:v>5959.0119964296209</c:v>
                </c:pt>
                <c:pt idx="261">
                  <c:v>7231.6533313606651</c:v>
                </c:pt>
                <c:pt idx="262">
                  <c:v>6959.2544215568942</c:v>
                </c:pt>
                <c:pt idx="263">
                  <c:v>7138.5410873363835</c:v>
                </c:pt>
                <c:pt idx="264">
                  <c:v>7220.726862656742</c:v>
                </c:pt>
                <c:pt idx="265">
                  <c:v>8532.674055516989</c:v>
                </c:pt>
                <c:pt idx="266">
                  <c:v>5631.8768645346809</c:v>
                </c:pt>
                <c:pt idx="267">
                  <c:v>9920.2390928202494</c:v>
                </c:pt>
                <c:pt idx="268">
                  <c:v>9082.4019227674744</c:v>
                </c:pt>
                <c:pt idx="269">
                  <c:v>6925.4483149160769</c:v>
                </c:pt>
                <c:pt idx="270">
                  <c:v>5568.4157876242734</c:v>
                </c:pt>
                <c:pt idx="271">
                  <c:v>7361.4536628295446</c:v>
                </c:pt>
                <c:pt idx="272">
                  <c:v>8961.9654816796574</c:v>
                </c:pt>
                <c:pt idx="273">
                  <c:v>5362.5409957747834</c:v>
                </c:pt>
                <c:pt idx="274">
                  <c:v>5532.3598336748528</c:v>
                </c:pt>
                <c:pt idx="275">
                  <c:v>6605.2289352823627</c:v>
                </c:pt>
                <c:pt idx="276">
                  <c:v>7167.643221319544</c:v>
                </c:pt>
                <c:pt idx="277">
                  <c:v>6835.4620748829429</c:v>
                </c:pt>
                <c:pt idx="278">
                  <c:v>7698.0324679191781</c:v>
                </c:pt>
                <c:pt idx="279">
                  <c:v>6297.3831810245283</c:v>
                </c:pt>
                <c:pt idx="280">
                  <c:v>6114.4028305046622</c:v>
                </c:pt>
                <c:pt idx="281">
                  <c:v>7314.6330136955185</c:v>
                </c:pt>
                <c:pt idx="282">
                  <c:v>7262.4232681950089</c:v>
                </c:pt>
                <c:pt idx="283">
                  <c:v>7270.2740204641195</c:v>
                </c:pt>
                <c:pt idx="284">
                  <c:v>5876.4999621629795</c:v>
                </c:pt>
                <c:pt idx="285">
                  <c:v>7229.3218922241558</c:v>
                </c:pt>
                <c:pt idx="286">
                  <c:v>7069.9338136756105</c:v>
                </c:pt>
                <c:pt idx="287">
                  <c:v>7045.76114191946</c:v>
                </c:pt>
                <c:pt idx="288">
                  <c:v>7416.2636440162005</c:v>
                </c:pt>
                <c:pt idx="289">
                  <c:v>5762.6886149025941</c:v>
                </c:pt>
                <c:pt idx="290">
                  <c:v>7479.678304074414</c:v>
                </c:pt>
                <c:pt idx="291">
                  <c:v>7922.3209295868219</c:v>
                </c:pt>
                <c:pt idx="292">
                  <c:v>5619.4442307645368</c:v>
                </c:pt>
                <c:pt idx="293">
                  <c:v>8582.5900403842097</c:v>
                </c:pt>
                <c:pt idx="294">
                  <c:v>6081.5197890792952</c:v>
                </c:pt>
                <c:pt idx="295">
                  <c:v>7394.7919006400207</c:v>
                </c:pt>
                <c:pt idx="296">
                  <c:v>7356.9121603344902</c:v>
                </c:pt>
                <c:pt idx="297">
                  <c:v>8074.5602809164211</c:v>
                </c:pt>
                <c:pt idx="298">
                  <c:v>7092.7932709829074</c:v>
                </c:pt>
                <c:pt idx="299">
                  <c:v>5688.0335045994016</c:v>
                </c:pt>
                <c:pt idx="300">
                  <c:v>5230.1901401728155</c:v>
                </c:pt>
                <c:pt idx="301">
                  <c:v>6672.6886626339165</c:v>
                </c:pt>
                <c:pt idx="302">
                  <c:v>7007.5904423190441</c:v>
                </c:pt>
                <c:pt idx="303">
                  <c:v>8570.4582456606313</c:v>
                </c:pt>
                <c:pt idx="304">
                  <c:v>7317.1085187611734</c:v>
                </c:pt>
                <c:pt idx="305">
                  <c:v>7563.4457778716587</c:v>
                </c:pt>
                <c:pt idx="306">
                  <c:v>7816.2428886286225</c:v>
                </c:pt>
                <c:pt idx="307">
                  <c:v>7524.3328648928873</c:v>
                </c:pt>
                <c:pt idx="308">
                  <c:v>6579.6031550398729</c:v>
                </c:pt>
                <c:pt idx="309">
                  <c:v>6262.3417595637993</c:v>
                </c:pt>
                <c:pt idx="310">
                  <c:v>7777.4052844952021</c:v>
                </c:pt>
                <c:pt idx="311">
                  <c:v>5690.2616232685832</c:v>
                </c:pt>
                <c:pt idx="312">
                  <c:v>6858.659924349553</c:v>
                </c:pt>
                <c:pt idx="313">
                  <c:v>5480.4572713901853</c:v>
                </c:pt>
                <c:pt idx="314">
                  <c:v>6109.7114658948794</c:v>
                </c:pt>
                <c:pt idx="315">
                  <c:v>7914.608649305017</c:v>
                </c:pt>
                <c:pt idx="316">
                  <c:v>6583.1103127805436</c:v>
                </c:pt>
                <c:pt idx="317">
                  <c:v>7929.4662453274304</c:v>
                </c:pt>
                <c:pt idx="318">
                  <c:v>5847.7102788843467</c:v>
                </c:pt>
                <c:pt idx="319">
                  <c:v>9406.7065503224367</c:v>
                </c:pt>
                <c:pt idx="320">
                  <c:v>6593.9889980229127</c:v>
                </c:pt>
                <c:pt idx="321">
                  <c:v>5555.841639003509</c:v>
                </c:pt>
                <c:pt idx="322">
                  <c:v>4819.7940834712354</c:v>
                </c:pt>
                <c:pt idx="323">
                  <c:v>6576.4250578722931</c:v>
                </c:pt>
                <c:pt idx="324">
                  <c:v>5988.2511949751697</c:v>
                </c:pt>
                <c:pt idx="325">
                  <c:v>6504.4820604259166</c:v>
                </c:pt>
                <c:pt idx="326">
                  <c:v>4569.8204913062646</c:v>
                </c:pt>
                <c:pt idx="327">
                  <c:v>6842.0221093552173</c:v>
                </c:pt>
                <c:pt idx="328">
                  <c:v>6527.3414805270586</c:v>
                </c:pt>
                <c:pt idx="329">
                  <c:v>7990.1973345904225</c:v>
                </c:pt>
                <c:pt idx="330">
                  <c:v>5739.760325771038</c:v>
                </c:pt>
                <c:pt idx="331">
                  <c:v>7115.9889622816117</c:v>
                </c:pt>
                <c:pt idx="332">
                  <c:v>7539.7568053597606</c:v>
                </c:pt>
                <c:pt idx="333">
                  <c:v>6842.2925384879763</c:v>
                </c:pt>
                <c:pt idx="334">
                  <c:v>6805.6873373771914</c:v>
                </c:pt>
                <c:pt idx="335">
                  <c:v>8112.802563212239</c:v>
                </c:pt>
                <c:pt idx="336">
                  <c:v>5764.3051985956972</c:v>
                </c:pt>
                <c:pt idx="337">
                  <c:v>5184.969244859607</c:v>
                </c:pt>
                <c:pt idx="338">
                  <c:v>7120.1556160645068</c:v>
                </c:pt>
                <c:pt idx="339">
                  <c:v>6539.3386799895743</c:v>
                </c:pt>
                <c:pt idx="340">
                  <c:v>6504.8833703631135</c:v>
                </c:pt>
                <c:pt idx="341">
                  <c:v>6740.3698005435235</c:v>
                </c:pt>
                <c:pt idx="342">
                  <c:v>7762.3311759271764</c:v>
                </c:pt>
                <c:pt idx="343">
                  <c:v>7255.5195864899688</c:v>
                </c:pt>
                <c:pt idx="344">
                  <c:v>6670.3051900208175</c:v>
                </c:pt>
                <c:pt idx="345">
                  <c:v>7458.2097910328666</c:v>
                </c:pt>
                <c:pt idx="346">
                  <c:v>5257.6474511486831</c:v>
                </c:pt>
                <c:pt idx="347">
                  <c:v>7292.4632213975074</c:v>
                </c:pt>
                <c:pt idx="348">
                  <c:v>7437.1758811149739</c:v>
                </c:pt>
                <c:pt idx="349">
                  <c:v>5326.0639406930459</c:v>
                </c:pt>
                <c:pt idx="350">
                  <c:v>6845.6217303170379</c:v>
                </c:pt>
                <c:pt idx="351">
                  <c:v>4695.069491514887</c:v>
                </c:pt>
                <c:pt idx="352">
                  <c:v>6946.3245550261254</c:v>
                </c:pt>
                <c:pt idx="353">
                  <c:v>7067.8213089911369</c:v>
                </c:pt>
                <c:pt idx="354">
                  <c:v>7218.3156718578157</c:v>
                </c:pt>
                <c:pt idx="355">
                  <c:v>7578.664095103084</c:v>
                </c:pt>
                <c:pt idx="356">
                  <c:v>7129.8924273058437</c:v>
                </c:pt>
                <c:pt idx="357">
                  <c:v>6078.3533405689705</c:v>
                </c:pt>
                <c:pt idx="358">
                  <c:v>6838.0254267099972</c:v>
                </c:pt>
                <c:pt idx="359">
                  <c:v>7747.1311552097741</c:v>
                </c:pt>
                <c:pt idx="360">
                  <c:v>6162.9947731870943</c:v>
                </c:pt>
                <c:pt idx="361">
                  <c:v>5974.3836176878212</c:v>
                </c:pt>
                <c:pt idx="362">
                  <c:v>6706.8844159113487</c:v>
                </c:pt>
                <c:pt idx="363">
                  <c:v>7174.0597770803288</c:v>
                </c:pt>
                <c:pt idx="364">
                  <c:v>4526.447967441296</c:v>
                </c:pt>
                <c:pt idx="365">
                  <c:v>9746.2517476332578</c:v>
                </c:pt>
                <c:pt idx="366">
                  <c:v>5477.0448640225368</c:v>
                </c:pt>
                <c:pt idx="367">
                  <c:v>4963.3384947170271</c:v>
                </c:pt>
                <c:pt idx="368">
                  <c:v>8278.3717399549823</c:v>
                </c:pt>
                <c:pt idx="369">
                  <c:v>7512.5391910941562</c:v>
                </c:pt>
                <c:pt idx="370">
                  <c:v>4839.158060265052</c:v>
                </c:pt>
                <c:pt idx="371">
                  <c:v>8503.3714952336504</c:v>
                </c:pt>
                <c:pt idx="372">
                  <c:v>8730.3097893052418</c:v>
                </c:pt>
                <c:pt idx="373">
                  <c:v>6528.3481424039182</c:v>
                </c:pt>
                <c:pt idx="374">
                  <c:v>6625.078035575345</c:v>
                </c:pt>
                <c:pt idx="375">
                  <c:v>6873.6464921199395</c:v>
                </c:pt>
                <c:pt idx="376">
                  <c:v>7379.5341569736247</c:v>
                </c:pt>
                <c:pt idx="377">
                  <c:v>5350.5378995147003</c:v>
                </c:pt>
                <c:pt idx="378">
                  <c:v>7999.1888857166869</c:v>
                </c:pt>
                <c:pt idx="379">
                  <c:v>5785.2048370366902</c:v>
                </c:pt>
                <c:pt idx="380">
                  <c:v>7146.189672556834</c:v>
                </c:pt>
                <c:pt idx="381">
                  <c:v>6636.4155942548177</c:v>
                </c:pt>
                <c:pt idx="382">
                  <c:v>5663.3875462481265</c:v>
                </c:pt>
                <c:pt idx="383">
                  <c:v>6137.8364530533891</c:v>
                </c:pt>
                <c:pt idx="384">
                  <c:v>7761.4648725092447</c:v>
                </c:pt>
                <c:pt idx="385">
                  <c:v>5755.4607340143921</c:v>
                </c:pt>
                <c:pt idx="386">
                  <c:v>6407.8269863584046</c:v>
                </c:pt>
                <c:pt idx="387">
                  <c:v>8148.1622801707508</c:v>
                </c:pt>
                <c:pt idx="388">
                  <c:v>7796.6718571946785</c:v>
                </c:pt>
                <c:pt idx="389">
                  <c:v>7217.7502751753564</c:v>
                </c:pt>
                <c:pt idx="390">
                  <c:v>4860.0929561710091</c:v>
                </c:pt>
                <c:pt idx="391">
                  <c:v>7168.8048524737969</c:v>
                </c:pt>
                <c:pt idx="392">
                  <c:v>7307.9985651308834</c:v>
                </c:pt>
                <c:pt idx="393">
                  <c:v>6225.2329132355972</c:v>
                </c:pt>
                <c:pt idx="394">
                  <c:v>7185.5975157878474</c:v>
                </c:pt>
                <c:pt idx="395">
                  <c:v>6251.115648747038</c:v>
                </c:pt>
                <c:pt idx="396">
                  <c:v>5329.4936184294656</c:v>
                </c:pt>
                <c:pt idx="397">
                  <c:v>7056.8695379974988</c:v>
                </c:pt>
                <c:pt idx="398">
                  <c:v>6034.3763778864904</c:v>
                </c:pt>
                <c:pt idx="399">
                  <c:v>7097.6758365002506</c:v>
                </c:pt>
                <c:pt idx="400">
                  <c:v>6586.284896725605</c:v>
                </c:pt>
                <c:pt idx="401">
                  <c:v>7650.7327817205141</c:v>
                </c:pt>
                <c:pt idx="402">
                  <c:v>7154.2677196931418</c:v>
                </c:pt>
                <c:pt idx="403">
                  <c:v>6522.4165786250014</c:v>
                </c:pt>
                <c:pt idx="404">
                  <c:v>5643.011056420466</c:v>
                </c:pt>
                <c:pt idx="405">
                  <c:v>3798.1795182769965</c:v>
                </c:pt>
                <c:pt idx="406">
                  <c:v>6533.3514251955712</c:v>
                </c:pt>
                <c:pt idx="407">
                  <c:v>7687.4936839371649</c:v>
                </c:pt>
                <c:pt idx="408">
                  <c:v>6911.4108533758881</c:v>
                </c:pt>
                <c:pt idx="409">
                  <c:v>6959.9768283525191</c:v>
                </c:pt>
                <c:pt idx="410">
                  <c:v>6451.2926180151553</c:v>
                </c:pt>
                <c:pt idx="411">
                  <c:v>5424.1111832812367</c:v>
                </c:pt>
                <c:pt idx="412">
                  <c:v>5795.4677517482796</c:v>
                </c:pt>
                <c:pt idx="413">
                  <c:v>7275.4608740820695</c:v>
                </c:pt>
                <c:pt idx="414">
                  <c:v>7978.3153185013371</c:v>
                </c:pt>
                <c:pt idx="415">
                  <c:v>7066.2784963111726</c:v>
                </c:pt>
                <c:pt idx="416">
                  <c:v>6575.399487718023</c:v>
                </c:pt>
                <c:pt idx="417">
                  <c:v>6523.6052902481661</c:v>
                </c:pt>
                <c:pt idx="418">
                  <c:v>6043.6951508525271</c:v>
                </c:pt>
                <c:pt idx="419">
                  <c:v>5982.3767434303072</c:v>
                </c:pt>
                <c:pt idx="420">
                  <c:v>7205.5978144177825</c:v>
                </c:pt>
                <c:pt idx="421">
                  <c:v>8223.1963889968174</c:v>
                </c:pt>
                <c:pt idx="422">
                  <c:v>8485.0791474073812</c:v>
                </c:pt>
                <c:pt idx="423">
                  <c:v>7844.7186652612345</c:v>
                </c:pt>
                <c:pt idx="424">
                  <c:v>6948.2501220175582</c:v>
                </c:pt>
                <c:pt idx="425">
                  <c:v>5858.25515331727</c:v>
                </c:pt>
                <c:pt idx="426">
                  <c:v>5425.2279106690858</c:v>
                </c:pt>
                <c:pt idx="427">
                  <c:v>7864.0306648690421</c:v>
                </c:pt>
                <c:pt idx="428">
                  <c:v>6682.8812849900169</c:v>
                </c:pt>
                <c:pt idx="429">
                  <c:v>6826.9145377146833</c:v>
                </c:pt>
                <c:pt idx="430">
                  <c:v>8265.7931371427021</c:v>
                </c:pt>
                <c:pt idx="431">
                  <c:v>7063.6885118224473</c:v>
                </c:pt>
                <c:pt idx="432">
                  <c:v>8362.8417548774669</c:v>
                </c:pt>
                <c:pt idx="433">
                  <c:v>5264.9315941721052</c:v>
                </c:pt>
                <c:pt idx="434">
                  <c:v>7900.4452563544637</c:v>
                </c:pt>
                <c:pt idx="435">
                  <c:v>5052.6917103152373</c:v>
                </c:pt>
                <c:pt idx="436">
                  <c:v>6717.3580473735055</c:v>
                </c:pt>
                <c:pt idx="437">
                  <c:v>5267.906756679864</c:v>
                </c:pt>
                <c:pt idx="438">
                  <c:v>6363.8499575117785</c:v>
                </c:pt>
                <c:pt idx="439">
                  <c:v>6413.1216609146177</c:v>
                </c:pt>
                <c:pt idx="440">
                  <c:v>7200.3125997945044</c:v>
                </c:pt>
                <c:pt idx="441">
                  <c:v>7581.1985504817931</c:v>
                </c:pt>
                <c:pt idx="442">
                  <c:v>7811.5886213196391</c:v>
                </c:pt>
                <c:pt idx="443">
                  <c:v>6677.3588196439177</c:v>
                </c:pt>
                <c:pt idx="444">
                  <c:v>5665.2145378954447</c:v>
                </c:pt>
                <c:pt idx="445">
                  <c:v>7696.5458439231925</c:v>
                </c:pt>
                <c:pt idx="446">
                  <c:v>8847.1938361898574</c:v>
                </c:pt>
                <c:pt idx="447">
                  <c:v>8232.4907568210892</c:v>
                </c:pt>
                <c:pt idx="448">
                  <c:v>6073.009375867834</c:v>
                </c:pt>
                <c:pt idx="449">
                  <c:v>6710.3922132263324</c:v>
                </c:pt>
                <c:pt idx="450">
                  <c:v>6892.805467596273</c:v>
                </c:pt>
                <c:pt idx="451">
                  <c:v>7302.0063446933091</c:v>
                </c:pt>
                <c:pt idx="452">
                  <c:v>5364.6148458820062</c:v>
                </c:pt>
                <c:pt idx="453">
                  <c:v>7487.2441901139355</c:v>
                </c:pt>
                <c:pt idx="454">
                  <c:v>7074.4325847851869</c:v>
                </c:pt>
                <c:pt idx="455">
                  <c:v>5673.5188394697907</c:v>
                </c:pt>
                <c:pt idx="456">
                  <c:v>7081.7901503587509</c:v>
                </c:pt>
                <c:pt idx="457">
                  <c:v>6539.2408432174743</c:v>
                </c:pt>
                <c:pt idx="458">
                  <c:v>9785.5354686616192</c:v>
                </c:pt>
                <c:pt idx="459">
                  <c:v>8425.4830497979892</c:v>
                </c:pt>
                <c:pt idx="460">
                  <c:v>7618.2078082773696</c:v>
                </c:pt>
                <c:pt idx="461">
                  <c:v>6231.2590961636251</c:v>
                </c:pt>
                <c:pt idx="462">
                  <c:v>7619.0189685562709</c:v>
                </c:pt>
                <c:pt idx="463">
                  <c:v>7451.8103228492437</c:v>
                </c:pt>
                <c:pt idx="464">
                  <c:v>6557.4460124128027</c:v>
                </c:pt>
                <c:pt idx="465">
                  <c:v>5876.3386900239875</c:v>
                </c:pt>
                <c:pt idx="466">
                  <c:v>6832.0639704711975</c:v>
                </c:pt>
                <c:pt idx="467">
                  <c:v>6460.7258567923764</c:v>
                </c:pt>
                <c:pt idx="468">
                  <c:v>5394.0001132610669</c:v>
                </c:pt>
                <c:pt idx="469">
                  <c:v>6730.3975585861754</c:v>
                </c:pt>
                <c:pt idx="470">
                  <c:v>9241.5610724334019</c:v>
                </c:pt>
                <c:pt idx="471">
                  <c:v>5778.4099673403744</c:v>
                </c:pt>
                <c:pt idx="472">
                  <c:v>7384.8127085646174</c:v>
                </c:pt>
                <c:pt idx="473">
                  <c:v>7013.5449163398353</c:v>
                </c:pt>
                <c:pt idx="474">
                  <c:v>7827.6262693851331</c:v>
                </c:pt>
                <c:pt idx="475">
                  <c:v>5420.7610305908947</c:v>
                </c:pt>
                <c:pt idx="476">
                  <c:v>6255.3426133784305</c:v>
                </c:pt>
                <c:pt idx="477">
                  <c:v>6842.990113027694</c:v>
                </c:pt>
                <c:pt idx="478">
                  <c:v>8027.794414300226</c:v>
                </c:pt>
                <c:pt idx="479">
                  <c:v>9073.9020808083915</c:v>
                </c:pt>
                <c:pt idx="480">
                  <c:v>6401.4792382402939</c:v>
                </c:pt>
                <c:pt idx="481">
                  <c:v>6725.7688751576225</c:v>
                </c:pt>
                <c:pt idx="482">
                  <c:v>8120.721401950208</c:v>
                </c:pt>
                <c:pt idx="483">
                  <c:v>6538.3359599595242</c:v>
                </c:pt>
                <c:pt idx="484">
                  <c:v>6707.6530818323863</c:v>
                </c:pt>
                <c:pt idx="485">
                  <c:v>6223.1270571401028</c:v>
                </c:pt>
                <c:pt idx="486">
                  <c:v>6350.3943306866295</c:v>
                </c:pt>
                <c:pt idx="487">
                  <c:v>7820.5320558157564</c:v>
                </c:pt>
                <c:pt idx="488">
                  <c:v>6628.2597601353518</c:v>
                </c:pt>
                <c:pt idx="489">
                  <c:v>5543.1675544911614</c:v>
                </c:pt>
                <c:pt idx="490">
                  <c:v>6510.0947121157678</c:v>
                </c:pt>
                <c:pt idx="491">
                  <c:v>6544.2843101415419</c:v>
                </c:pt>
                <c:pt idx="492">
                  <c:v>6359.7524796507951</c:v>
                </c:pt>
                <c:pt idx="493">
                  <c:v>7376.9799473583262</c:v>
                </c:pt>
                <c:pt idx="494">
                  <c:v>7917.7242524651865</c:v>
                </c:pt>
                <c:pt idx="495">
                  <c:v>7984.2614111545445</c:v>
                </c:pt>
                <c:pt idx="496">
                  <c:v>7376.7640194694604</c:v>
                </c:pt>
                <c:pt idx="497">
                  <c:v>5409.20874985726</c:v>
                </c:pt>
                <c:pt idx="498">
                  <c:v>6144.3227017677063</c:v>
                </c:pt>
                <c:pt idx="499">
                  <c:v>5259.4354705788901</c:v>
                </c:pt>
                <c:pt idx="500">
                  <c:v>7601.6640564497802</c:v>
                </c:pt>
                <c:pt idx="501">
                  <c:v>6841.4704062064175</c:v>
                </c:pt>
                <c:pt idx="502">
                  <c:v>7086.5169388586783</c:v>
                </c:pt>
                <c:pt idx="503">
                  <c:v>6832.5896090008027</c:v>
                </c:pt>
                <c:pt idx="504">
                  <c:v>8557.9024688969403</c:v>
                </c:pt>
                <c:pt idx="505">
                  <c:v>7933.7119486156389</c:v>
                </c:pt>
                <c:pt idx="506">
                  <c:v>7708.2955928440251</c:v>
                </c:pt>
                <c:pt idx="507">
                  <c:v>5083.9456044375129</c:v>
                </c:pt>
                <c:pt idx="508">
                  <c:v>7893.0166307275795</c:v>
                </c:pt>
                <c:pt idx="509">
                  <c:v>7249.1676133339861</c:v>
                </c:pt>
                <c:pt idx="510">
                  <c:v>6740.7407401542387</c:v>
                </c:pt>
                <c:pt idx="511">
                  <c:v>7236.0618106095344</c:v>
                </c:pt>
                <c:pt idx="512">
                  <c:v>6656.7214598256523</c:v>
                </c:pt>
                <c:pt idx="513">
                  <c:v>6033.6176725997939</c:v>
                </c:pt>
                <c:pt idx="514">
                  <c:v>8358.2921395860885</c:v>
                </c:pt>
                <c:pt idx="515">
                  <c:v>8948.8297115284677</c:v>
                </c:pt>
                <c:pt idx="516">
                  <c:v>5858.572953517827</c:v>
                </c:pt>
                <c:pt idx="517">
                  <c:v>7404.7977459590402</c:v>
                </c:pt>
                <c:pt idx="518">
                  <c:v>6244.2527975679895</c:v>
                </c:pt>
                <c:pt idx="519">
                  <c:v>7462.9778172781007</c:v>
                </c:pt>
                <c:pt idx="520">
                  <c:v>7745.3416321509658</c:v>
                </c:pt>
                <c:pt idx="521">
                  <c:v>6398.9965105030788</c:v>
                </c:pt>
                <c:pt idx="522">
                  <c:v>7838.8025848205471</c:v>
                </c:pt>
                <c:pt idx="523">
                  <c:v>6572.5046411978274</c:v>
                </c:pt>
                <c:pt idx="524">
                  <c:v>6176.552865793984</c:v>
                </c:pt>
                <c:pt idx="525">
                  <c:v>6586.6308058863851</c:v>
                </c:pt>
                <c:pt idx="526">
                  <c:v>5161.1746986821854</c:v>
                </c:pt>
                <c:pt idx="527">
                  <c:v>5678.1258225023585</c:v>
                </c:pt>
                <c:pt idx="528">
                  <c:v>7233.8261218771422</c:v>
                </c:pt>
                <c:pt idx="529">
                  <c:v>7352.9274564882671</c:v>
                </c:pt>
                <c:pt idx="530">
                  <c:v>6700.9710148171143</c:v>
                </c:pt>
                <c:pt idx="531">
                  <c:v>6965.8959224373903</c:v>
                </c:pt>
                <c:pt idx="532">
                  <c:v>7472.7504531806462</c:v>
                </c:pt>
                <c:pt idx="533">
                  <c:v>7387.4196932528848</c:v>
                </c:pt>
                <c:pt idx="534">
                  <c:v>7152.655236621762</c:v>
                </c:pt>
                <c:pt idx="535">
                  <c:v>5562.4478176943121</c:v>
                </c:pt>
                <c:pt idx="536">
                  <c:v>7891.7262378567584</c:v>
                </c:pt>
                <c:pt idx="537">
                  <c:v>7148.7892158364684</c:v>
                </c:pt>
                <c:pt idx="538">
                  <c:v>7942.2104460218052</c:v>
                </c:pt>
                <c:pt idx="539">
                  <c:v>6525.8119086475126</c:v>
                </c:pt>
                <c:pt idx="540">
                  <c:v>6235.3405149723085</c:v>
                </c:pt>
                <c:pt idx="541">
                  <c:v>6364.3944922630944</c:v>
                </c:pt>
                <c:pt idx="542">
                  <c:v>8992.5651256012752</c:v>
                </c:pt>
                <c:pt idx="543">
                  <c:v>7549.3213468559534</c:v>
                </c:pt>
                <c:pt idx="544">
                  <c:v>5801.8986146922398</c:v>
                </c:pt>
                <c:pt idx="545">
                  <c:v>6523.6628085264929</c:v>
                </c:pt>
                <c:pt idx="546">
                  <c:v>6034.2046173060507</c:v>
                </c:pt>
                <c:pt idx="547">
                  <c:v>6582.6438628640171</c:v>
                </c:pt>
                <c:pt idx="548">
                  <c:v>8328.2758896106225</c:v>
                </c:pt>
                <c:pt idx="549">
                  <c:v>8196.975198972712</c:v>
                </c:pt>
                <c:pt idx="550">
                  <c:v>6598.1220212595472</c:v>
                </c:pt>
                <c:pt idx="551">
                  <c:v>6218.3629845139567</c:v>
                </c:pt>
                <c:pt idx="552">
                  <c:v>7101.3647715286588</c:v>
                </c:pt>
                <c:pt idx="553">
                  <c:v>9948.2634908945838</c:v>
                </c:pt>
                <c:pt idx="554">
                  <c:v>6312.5737879839035</c:v>
                </c:pt>
                <c:pt idx="555">
                  <c:v>8677.9176331247181</c:v>
                </c:pt>
                <c:pt idx="556">
                  <c:v>8096.4208027938985</c:v>
                </c:pt>
                <c:pt idx="557">
                  <c:v>7476.9954899205804</c:v>
                </c:pt>
                <c:pt idx="558">
                  <c:v>6191.7435720396152</c:v>
                </c:pt>
                <c:pt idx="559">
                  <c:v>7013.8690607612043</c:v>
                </c:pt>
                <c:pt idx="560">
                  <c:v>9513.4891948208406</c:v>
                </c:pt>
                <c:pt idx="561">
                  <c:v>9826.7478922513292</c:v>
                </c:pt>
                <c:pt idx="562">
                  <c:v>5661.2731121824909</c:v>
                </c:pt>
                <c:pt idx="563">
                  <c:v>7587.4647631548942</c:v>
                </c:pt>
                <c:pt idx="564">
                  <c:v>6729.3010323881263</c:v>
                </c:pt>
                <c:pt idx="565">
                  <c:v>7417.1729729217386</c:v>
                </c:pt>
                <c:pt idx="566">
                  <c:v>6086.0700903935794</c:v>
                </c:pt>
                <c:pt idx="567">
                  <c:v>7396.9240979341112</c:v>
                </c:pt>
                <c:pt idx="568">
                  <c:v>7602.7147732383874</c:v>
                </c:pt>
                <c:pt idx="569">
                  <c:v>6454.8901134554253</c:v>
                </c:pt>
                <c:pt idx="570">
                  <c:v>7816.6763838174193</c:v>
                </c:pt>
                <c:pt idx="571">
                  <c:v>8265.4821491524799</c:v>
                </c:pt>
                <c:pt idx="572">
                  <c:v>7077.9822081403254</c:v>
                </c:pt>
                <c:pt idx="573">
                  <c:v>6513.3637677063989</c:v>
                </c:pt>
                <c:pt idx="574">
                  <c:v>6213.9571663861443</c:v>
                </c:pt>
                <c:pt idx="575">
                  <c:v>6898.5094332277768</c:v>
                </c:pt>
                <c:pt idx="576">
                  <c:v>6944.3475278473088</c:v>
                </c:pt>
                <c:pt idx="577">
                  <c:v>7523.5001004850747</c:v>
                </c:pt>
                <c:pt idx="578">
                  <c:v>7910.1741512577373</c:v>
                </c:pt>
                <c:pt idx="579">
                  <c:v>8864.824331794207</c:v>
                </c:pt>
                <c:pt idx="580">
                  <c:v>6168.5371444851808</c:v>
                </c:pt>
                <c:pt idx="581">
                  <c:v>5917.9046585329706</c:v>
                </c:pt>
                <c:pt idx="582">
                  <c:v>6200.9230327569585</c:v>
                </c:pt>
                <c:pt idx="583">
                  <c:v>6354.407538359661</c:v>
                </c:pt>
                <c:pt idx="584">
                  <c:v>6611.2239811502623</c:v>
                </c:pt>
                <c:pt idx="585">
                  <c:v>6268.9325119452405</c:v>
                </c:pt>
                <c:pt idx="586">
                  <c:v>6313.354923648023</c:v>
                </c:pt>
                <c:pt idx="587">
                  <c:v>8537.7356734698315</c:v>
                </c:pt>
                <c:pt idx="588">
                  <c:v>6128.2334349726571</c:v>
                </c:pt>
                <c:pt idx="589">
                  <c:v>4629.431865144421</c:v>
                </c:pt>
                <c:pt idx="590">
                  <c:v>6350.4930214529777</c:v>
                </c:pt>
                <c:pt idx="591">
                  <c:v>6810.4086132249067</c:v>
                </c:pt>
                <c:pt idx="592">
                  <c:v>7390.4902048744698</c:v>
                </c:pt>
                <c:pt idx="593">
                  <c:v>6730.8800320330101</c:v>
                </c:pt>
                <c:pt idx="594">
                  <c:v>8243.2085653487757</c:v>
                </c:pt>
                <c:pt idx="595">
                  <c:v>7542.348099559058</c:v>
                </c:pt>
                <c:pt idx="596">
                  <c:v>6031.1203766907547</c:v>
                </c:pt>
                <c:pt idx="597">
                  <c:v>7766.4080852484876</c:v>
                </c:pt>
                <c:pt idx="598">
                  <c:v>6808.6755247835608</c:v>
                </c:pt>
                <c:pt idx="599">
                  <c:v>6449.7545065454651</c:v>
                </c:pt>
                <c:pt idx="600">
                  <c:v>8593.1611655574579</c:v>
                </c:pt>
                <c:pt idx="601">
                  <c:v>7509.0122846285267</c:v>
                </c:pt>
                <c:pt idx="602">
                  <c:v>7187.9850512115099</c:v>
                </c:pt>
                <c:pt idx="603">
                  <c:v>7190.8314894373398</c:v>
                </c:pt>
                <c:pt idx="604">
                  <c:v>5753.0171745445714</c:v>
                </c:pt>
                <c:pt idx="605">
                  <c:v>6879.8883465490499</c:v>
                </c:pt>
                <c:pt idx="606">
                  <c:v>8240.2539295297393</c:v>
                </c:pt>
                <c:pt idx="607">
                  <c:v>7584.2278641127195</c:v>
                </c:pt>
                <c:pt idx="608">
                  <c:v>7835.7317306544792</c:v>
                </c:pt>
                <c:pt idx="609">
                  <c:v>6050.6364666838472</c:v>
                </c:pt>
                <c:pt idx="610">
                  <c:v>8159.7007711137649</c:v>
                </c:pt>
                <c:pt idx="611">
                  <c:v>6583.2113270403952</c:v>
                </c:pt>
                <c:pt idx="612">
                  <c:v>7060.8841064950302</c:v>
                </c:pt>
                <c:pt idx="613">
                  <c:v>5970.1031374632639</c:v>
                </c:pt>
                <c:pt idx="614">
                  <c:v>8631.700989436993</c:v>
                </c:pt>
                <c:pt idx="615">
                  <c:v>7919.2217273953647</c:v>
                </c:pt>
                <c:pt idx="616">
                  <c:v>6279.7298198805784</c:v>
                </c:pt>
                <c:pt idx="617">
                  <c:v>6595.0774318891145</c:v>
                </c:pt>
                <c:pt idx="618">
                  <c:v>6139.2188589366488</c:v>
                </c:pt>
                <c:pt idx="619">
                  <c:v>5816.0713117804753</c:v>
                </c:pt>
                <c:pt idx="620">
                  <c:v>6669.8449283312548</c:v>
                </c:pt>
                <c:pt idx="621">
                  <c:v>8375.2736407784305</c:v>
                </c:pt>
                <c:pt idx="622">
                  <c:v>5282.8326045640842</c:v>
                </c:pt>
                <c:pt idx="623">
                  <c:v>7192.0005293732283</c:v>
                </c:pt>
                <c:pt idx="624">
                  <c:v>7331.6641363758681</c:v>
                </c:pt>
                <c:pt idx="625">
                  <c:v>6380.6364677213205</c:v>
                </c:pt>
                <c:pt idx="626">
                  <c:v>8293.7065076978397</c:v>
                </c:pt>
                <c:pt idx="627">
                  <c:v>5514.6813220619033</c:v>
                </c:pt>
                <c:pt idx="628">
                  <c:v>9478.4421239693365</c:v>
                </c:pt>
                <c:pt idx="629">
                  <c:v>5318.2811607811891</c:v>
                </c:pt>
                <c:pt idx="630">
                  <c:v>6955.9125464808894</c:v>
                </c:pt>
                <c:pt idx="631">
                  <c:v>6552.4514674367692</c:v>
                </c:pt>
                <c:pt idx="632">
                  <c:v>5237.7425387233534</c:v>
                </c:pt>
                <c:pt idx="633">
                  <c:v>4483.8770594889183</c:v>
                </c:pt>
                <c:pt idx="634">
                  <c:v>6552.2147150674682</c:v>
                </c:pt>
                <c:pt idx="635">
                  <c:v>7227.6062036682215</c:v>
                </c:pt>
                <c:pt idx="636">
                  <c:v>6388.3728783430288</c:v>
                </c:pt>
                <c:pt idx="637">
                  <c:v>8800.7978132339249</c:v>
                </c:pt>
                <c:pt idx="638">
                  <c:v>6184.3277748621895</c:v>
                </c:pt>
                <c:pt idx="639">
                  <c:v>4801.1688600579691</c:v>
                </c:pt>
                <c:pt idx="640">
                  <c:v>6627.0416719448149</c:v>
                </c:pt>
                <c:pt idx="641">
                  <c:v>8182.4316020934384</c:v>
                </c:pt>
                <c:pt idx="642">
                  <c:v>7816.8375272618614</c:v>
                </c:pt>
                <c:pt idx="643">
                  <c:v>8996.7075362778578</c:v>
                </c:pt>
                <c:pt idx="644">
                  <c:v>6422.5925697075436</c:v>
                </c:pt>
                <c:pt idx="645">
                  <c:v>6687.6954069851727</c:v>
                </c:pt>
                <c:pt idx="646">
                  <c:v>8027.7332229600488</c:v>
                </c:pt>
                <c:pt idx="647">
                  <c:v>9339.8796315963118</c:v>
                </c:pt>
                <c:pt idx="648">
                  <c:v>6101.2463524198065</c:v>
                </c:pt>
                <c:pt idx="649">
                  <c:v>6119.221089992132</c:v>
                </c:pt>
                <c:pt idx="650">
                  <c:v>6307.5790053496294</c:v>
                </c:pt>
                <c:pt idx="651">
                  <c:v>6205.4137279220322</c:v>
                </c:pt>
                <c:pt idx="652">
                  <c:v>5603.7786415602313</c:v>
                </c:pt>
                <c:pt idx="653">
                  <c:v>7915.5989178813325</c:v>
                </c:pt>
                <c:pt idx="654">
                  <c:v>8799.3879072958407</c:v>
                </c:pt>
                <c:pt idx="655">
                  <c:v>5311.5092228815975</c:v>
                </c:pt>
                <c:pt idx="656">
                  <c:v>5711.7900019644476</c:v>
                </c:pt>
                <c:pt idx="657">
                  <c:v>5861.3401987418201</c:v>
                </c:pt>
                <c:pt idx="658">
                  <c:v>7480.2385829981295</c:v>
                </c:pt>
                <c:pt idx="659">
                  <c:v>5195.0595414460149</c:v>
                </c:pt>
                <c:pt idx="660">
                  <c:v>5714.1628076254419</c:v>
                </c:pt>
                <c:pt idx="661">
                  <c:v>5514.5382369253648</c:v>
                </c:pt>
                <c:pt idx="662">
                  <c:v>6422.5249139423486</c:v>
                </c:pt>
                <c:pt idx="663">
                  <c:v>8621.8667952288015</c:v>
                </c:pt>
                <c:pt idx="664">
                  <c:v>5477.6085848337352</c:v>
                </c:pt>
                <c:pt idx="665">
                  <c:v>7561.1318779744179</c:v>
                </c:pt>
                <c:pt idx="666">
                  <c:v>5389.8715502746245</c:v>
                </c:pt>
                <c:pt idx="667">
                  <c:v>7131.513796199768</c:v>
                </c:pt>
                <c:pt idx="668">
                  <c:v>7495.6235855233963</c:v>
                </c:pt>
                <c:pt idx="669">
                  <c:v>7153.4474975565754</c:v>
                </c:pt>
                <c:pt idx="670">
                  <c:v>6454.8720633252778</c:v>
                </c:pt>
                <c:pt idx="671">
                  <c:v>6758.1381118806657</c:v>
                </c:pt>
                <c:pt idx="672">
                  <c:v>7428.2590804212432</c:v>
                </c:pt>
                <c:pt idx="673">
                  <c:v>7347.0046855505689</c:v>
                </c:pt>
                <c:pt idx="674">
                  <c:v>8501.9100947895004</c:v>
                </c:pt>
                <c:pt idx="675">
                  <c:v>8418.0352489172219</c:v>
                </c:pt>
                <c:pt idx="676">
                  <c:v>7349.9424728545309</c:v>
                </c:pt>
                <c:pt idx="677">
                  <c:v>8623.478795989593</c:v>
                </c:pt>
                <c:pt idx="678">
                  <c:v>7898.68786261881</c:v>
                </c:pt>
                <c:pt idx="679">
                  <c:v>6794.8912132323203</c:v>
                </c:pt>
                <c:pt idx="680">
                  <c:v>7424.701502185022</c:v>
                </c:pt>
                <c:pt idx="681">
                  <c:v>7794.801433710174</c:v>
                </c:pt>
                <c:pt idx="682">
                  <c:v>4573.2896045787329</c:v>
                </c:pt>
                <c:pt idx="683">
                  <c:v>8511.4628886620339</c:v>
                </c:pt>
                <c:pt idx="684">
                  <c:v>7729.4445179549739</c:v>
                </c:pt>
                <c:pt idx="685">
                  <c:v>6528.9597224100125</c:v>
                </c:pt>
                <c:pt idx="686">
                  <c:v>7001.5580907735948</c:v>
                </c:pt>
                <c:pt idx="687">
                  <c:v>7197.2010802827499</c:v>
                </c:pt>
                <c:pt idx="688">
                  <c:v>7501.6509783619786</c:v>
                </c:pt>
                <c:pt idx="689">
                  <c:v>5365.1063987449797</c:v>
                </c:pt>
                <c:pt idx="690">
                  <c:v>8018.7033358259268</c:v>
                </c:pt>
                <c:pt idx="691">
                  <c:v>6729.1712103671653</c:v>
                </c:pt>
                <c:pt idx="692">
                  <c:v>5633.8296741589293</c:v>
                </c:pt>
                <c:pt idx="693">
                  <c:v>6332.9997036826981</c:v>
                </c:pt>
                <c:pt idx="694">
                  <c:v>8579.3921275617213</c:v>
                </c:pt>
                <c:pt idx="695">
                  <c:v>5300.9727395643149</c:v>
                </c:pt>
                <c:pt idx="696">
                  <c:v>6769.6916402277311</c:v>
                </c:pt>
                <c:pt idx="697">
                  <c:v>6365.5401840508548</c:v>
                </c:pt>
                <c:pt idx="698">
                  <c:v>7879.6633285356911</c:v>
                </c:pt>
                <c:pt idx="699">
                  <c:v>6096.6156857492551</c:v>
                </c:pt>
                <c:pt idx="700">
                  <c:v>6224.0817483658175</c:v>
                </c:pt>
                <c:pt idx="701">
                  <c:v>5989.1027144216823</c:v>
                </c:pt>
                <c:pt idx="702">
                  <c:v>5850.5918939035619</c:v>
                </c:pt>
                <c:pt idx="703">
                  <c:v>6310.2597234419682</c:v>
                </c:pt>
                <c:pt idx="704">
                  <c:v>6551.1162582616034</c:v>
                </c:pt>
                <c:pt idx="705">
                  <c:v>6830.273906321052</c:v>
                </c:pt>
                <c:pt idx="706">
                  <c:v>7210.2806654443339</c:v>
                </c:pt>
                <c:pt idx="707">
                  <c:v>7157.9860627604503</c:v>
                </c:pt>
                <c:pt idx="708">
                  <c:v>5728.023106627883</c:v>
                </c:pt>
                <c:pt idx="709">
                  <c:v>6328.6659622142706</c:v>
                </c:pt>
                <c:pt idx="710">
                  <c:v>8499.4692931337086</c:v>
                </c:pt>
                <c:pt idx="711">
                  <c:v>6323.323133134174</c:v>
                </c:pt>
                <c:pt idx="712">
                  <c:v>7110.2849625727295</c:v>
                </c:pt>
                <c:pt idx="713">
                  <c:v>5952.4619898453584</c:v>
                </c:pt>
                <c:pt idx="714">
                  <c:v>7211.9052431911841</c:v>
                </c:pt>
                <c:pt idx="715">
                  <c:v>7559.5513455029177</c:v>
                </c:pt>
                <c:pt idx="716">
                  <c:v>8411.8302513882645</c:v>
                </c:pt>
                <c:pt idx="717">
                  <c:v>6256.9727229315968</c:v>
                </c:pt>
                <c:pt idx="718">
                  <c:v>9123.9027914846902</c:v>
                </c:pt>
                <c:pt idx="719">
                  <c:v>8967.2920619596334</c:v>
                </c:pt>
                <c:pt idx="720">
                  <c:v>6109.4208919458724</c:v>
                </c:pt>
                <c:pt idx="721">
                  <c:v>5647.0873779942267</c:v>
                </c:pt>
                <c:pt idx="722">
                  <c:v>7218.1642858233317</c:v>
                </c:pt>
                <c:pt idx="723">
                  <c:v>5930.0625108235345</c:v>
                </c:pt>
                <c:pt idx="724">
                  <c:v>7576.1824530576541</c:v>
                </c:pt>
                <c:pt idx="725">
                  <c:v>6110.0155978468974</c:v>
                </c:pt>
                <c:pt idx="726">
                  <c:v>4568.3599412993208</c:v>
                </c:pt>
                <c:pt idx="727">
                  <c:v>7859.8470688297948</c:v>
                </c:pt>
                <c:pt idx="728">
                  <c:v>7072.1332751781702</c:v>
                </c:pt>
                <c:pt idx="729">
                  <c:v>6116.0217295352577</c:v>
                </c:pt>
                <c:pt idx="730">
                  <c:v>8408.8450163783982</c:v>
                </c:pt>
                <c:pt idx="731">
                  <c:v>7134.0385346118874</c:v>
                </c:pt>
                <c:pt idx="732">
                  <c:v>7218.2159859485864</c:v>
                </c:pt>
                <c:pt idx="733">
                  <c:v>6445.6796683165612</c:v>
                </c:pt>
                <c:pt idx="734">
                  <c:v>6754.90168461957</c:v>
                </c:pt>
                <c:pt idx="735">
                  <c:v>6384.3713905572404</c:v>
                </c:pt>
                <c:pt idx="736">
                  <c:v>6056.9740022807437</c:v>
                </c:pt>
                <c:pt idx="737">
                  <c:v>6059.9930135730756</c:v>
                </c:pt>
                <c:pt idx="738">
                  <c:v>7165.388119106392</c:v>
                </c:pt>
                <c:pt idx="739">
                  <c:v>6758.699308026562</c:v>
                </c:pt>
                <c:pt idx="740">
                  <c:v>8695.1742021396822</c:v>
                </c:pt>
                <c:pt idx="741">
                  <c:v>7337.4366761271367</c:v>
                </c:pt>
                <c:pt idx="742">
                  <c:v>7923.8518426892151</c:v>
                </c:pt>
                <c:pt idx="743">
                  <c:v>9129.5267259249667</c:v>
                </c:pt>
                <c:pt idx="744">
                  <c:v>6777.7061377410673</c:v>
                </c:pt>
                <c:pt idx="745">
                  <c:v>6313.5322477312475</c:v>
                </c:pt>
                <c:pt idx="746">
                  <c:v>6796.1547408813767</c:v>
                </c:pt>
                <c:pt idx="747">
                  <c:v>7073.6404593954212</c:v>
                </c:pt>
                <c:pt idx="748">
                  <c:v>6877.2111720981138</c:v>
                </c:pt>
                <c:pt idx="749">
                  <c:v>7380.3397570642046</c:v>
                </c:pt>
                <c:pt idx="750">
                  <c:v>6793.2660225721847</c:v>
                </c:pt>
                <c:pt idx="751">
                  <c:v>5359.5972581691531</c:v>
                </c:pt>
                <c:pt idx="752">
                  <c:v>8146.9740111565116</c:v>
                </c:pt>
                <c:pt idx="753">
                  <c:v>8630.390153409262</c:v>
                </c:pt>
                <c:pt idx="754">
                  <c:v>6414.1830071916484</c:v>
                </c:pt>
                <c:pt idx="755">
                  <c:v>6209.0041403790892</c:v>
                </c:pt>
                <c:pt idx="756">
                  <c:v>6635.0435573014802</c:v>
                </c:pt>
                <c:pt idx="757">
                  <c:v>6679.9394581404904</c:v>
                </c:pt>
                <c:pt idx="758">
                  <c:v>9450.9516477475663</c:v>
                </c:pt>
                <c:pt idx="759">
                  <c:v>6205.3602481801154</c:v>
                </c:pt>
                <c:pt idx="760">
                  <c:v>6288.9363899075179</c:v>
                </c:pt>
                <c:pt idx="761">
                  <c:v>5349.2902062677749</c:v>
                </c:pt>
                <c:pt idx="762">
                  <c:v>5993.0673193249186</c:v>
                </c:pt>
                <c:pt idx="763">
                  <c:v>6427.3470212203447</c:v>
                </c:pt>
                <c:pt idx="764">
                  <c:v>8473.9324133074915</c:v>
                </c:pt>
                <c:pt idx="765">
                  <c:v>6471.1580585819738</c:v>
                </c:pt>
                <c:pt idx="766">
                  <c:v>6638.8976096998449</c:v>
                </c:pt>
                <c:pt idx="767">
                  <c:v>8329.5947178677106</c:v>
                </c:pt>
                <c:pt idx="768">
                  <c:v>7353.5597609378929</c:v>
                </c:pt>
                <c:pt idx="769">
                  <c:v>6467.4251278528409</c:v>
                </c:pt>
                <c:pt idx="770">
                  <c:v>8502.5244942344798</c:v>
                </c:pt>
                <c:pt idx="771">
                  <c:v>7626.4604773118235</c:v>
                </c:pt>
                <c:pt idx="772">
                  <c:v>6359.0228622366658</c:v>
                </c:pt>
                <c:pt idx="773">
                  <c:v>8661.0868767333486</c:v>
                </c:pt>
                <c:pt idx="774">
                  <c:v>7200.2262878238198</c:v>
                </c:pt>
                <c:pt idx="775">
                  <c:v>8583.3783143486235</c:v>
                </c:pt>
                <c:pt idx="776">
                  <c:v>7738.7708863777989</c:v>
                </c:pt>
                <c:pt idx="777">
                  <c:v>5593.2959973242469</c:v>
                </c:pt>
                <c:pt idx="778">
                  <c:v>7114.5078670182374</c:v>
                </c:pt>
                <c:pt idx="779">
                  <c:v>6634.0345123690222</c:v>
                </c:pt>
                <c:pt idx="780">
                  <c:v>7382.7308574554463</c:v>
                </c:pt>
                <c:pt idx="781">
                  <c:v>7458.4757613751226</c:v>
                </c:pt>
                <c:pt idx="782">
                  <c:v>6604.0606716311777</c:v>
                </c:pt>
                <c:pt idx="783">
                  <c:v>6071.5945165410903</c:v>
                </c:pt>
                <c:pt idx="784">
                  <c:v>5853.3473362185832</c:v>
                </c:pt>
                <c:pt idx="785">
                  <c:v>7931.0499610728875</c:v>
                </c:pt>
                <c:pt idx="786">
                  <c:v>7662.074645999106</c:v>
                </c:pt>
                <c:pt idx="787">
                  <c:v>7658.623562019573</c:v>
                </c:pt>
                <c:pt idx="788">
                  <c:v>6938.6219345746631</c:v>
                </c:pt>
                <c:pt idx="789">
                  <c:v>7681.0468459524127</c:v>
                </c:pt>
                <c:pt idx="790">
                  <c:v>8084.4931046012116</c:v>
                </c:pt>
                <c:pt idx="791">
                  <c:v>7456.3525350106611</c:v>
                </c:pt>
                <c:pt idx="792">
                  <c:v>7020.8655606574594</c:v>
                </c:pt>
                <c:pt idx="793">
                  <c:v>9158.9652123070136</c:v>
                </c:pt>
                <c:pt idx="794">
                  <c:v>6189.2129200315321</c:v>
                </c:pt>
                <c:pt idx="795">
                  <c:v>4790.1971507383587</c:v>
                </c:pt>
                <c:pt idx="796">
                  <c:v>6547.65105912933</c:v>
                </c:pt>
                <c:pt idx="797">
                  <c:v>6133.8091173279208</c:v>
                </c:pt>
                <c:pt idx="798">
                  <c:v>7487.6418105317643</c:v>
                </c:pt>
                <c:pt idx="799">
                  <c:v>8247.0658610441278</c:v>
                </c:pt>
                <c:pt idx="800">
                  <c:v>7276.9483775391509</c:v>
                </c:pt>
                <c:pt idx="801">
                  <c:v>5798.1915560919115</c:v>
                </c:pt>
                <c:pt idx="802">
                  <c:v>6538.5205671174845</c:v>
                </c:pt>
                <c:pt idx="803">
                  <c:v>5719.7145955036294</c:v>
                </c:pt>
                <c:pt idx="804">
                  <c:v>6867.2943474763306</c:v>
                </c:pt>
                <c:pt idx="805">
                  <c:v>8590.298714293227</c:v>
                </c:pt>
                <c:pt idx="806">
                  <c:v>8968.3508986837824</c:v>
                </c:pt>
                <c:pt idx="807">
                  <c:v>8585.917178736885</c:v>
                </c:pt>
                <c:pt idx="808">
                  <c:v>7434.1833543378252</c:v>
                </c:pt>
                <c:pt idx="809">
                  <c:v>5589.8409338344145</c:v>
                </c:pt>
                <c:pt idx="810">
                  <c:v>7189.7201175926548</c:v>
                </c:pt>
                <c:pt idx="811">
                  <c:v>8079.8063047218147</c:v>
                </c:pt>
                <c:pt idx="812">
                  <c:v>7395.6349589743568</c:v>
                </c:pt>
                <c:pt idx="813">
                  <c:v>6902.001268994698</c:v>
                </c:pt>
                <c:pt idx="814">
                  <c:v>7463.6351796102463</c:v>
                </c:pt>
                <c:pt idx="815">
                  <c:v>6819.1970545807608</c:v>
                </c:pt>
                <c:pt idx="816">
                  <c:v>7631.8823373598825</c:v>
                </c:pt>
                <c:pt idx="817">
                  <c:v>7758.6788203964143</c:v>
                </c:pt>
                <c:pt idx="818">
                  <c:v>9590.8690067579228</c:v>
                </c:pt>
                <c:pt idx="819">
                  <c:v>8567.3533054893614</c:v>
                </c:pt>
                <c:pt idx="820">
                  <c:v>5953.0535171195943</c:v>
                </c:pt>
                <c:pt idx="821">
                  <c:v>6744.5729290668642</c:v>
                </c:pt>
                <c:pt idx="822">
                  <c:v>6322.447337497455</c:v>
                </c:pt>
                <c:pt idx="823">
                  <c:v>6710.526375427834</c:v>
                </c:pt>
                <c:pt idx="824">
                  <c:v>9202.4915826401702</c:v>
                </c:pt>
                <c:pt idx="825">
                  <c:v>6940.2051002802073</c:v>
                </c:pt>
                <c:pt idx="826">
                  <c:v>7286.3090562502912</c:v>
                </c:pt>
                <c:pt idx="827">
                  <c:v>7452.1878720339628</c:v>
                </c:pt>
                <c:pt idx="828">
                  <c:v>6729.1004503028671</c:v>
                </c:pt>
                <c:pt idx="829">
                  <c:v>4962.6130033264235</c:v>
                </c:pt>
                <c:pt idx="830">
                  <c:v>5621.2795890467487</c:v>
                </c:pt>
                <c:pt idx="831">
                  <c:v>6758.8700563798429</c:v>
                </c:pt>
                <c:pt idx="832">
                  <c:v>7844.5988383924105</c:v>
                </c:pt>
                <c:pt idx="833">
                  <c:v>6152.2467175498114</c:v>
                </c:pt>
                <c:pt idx="834">
                  <c:v>6088.3401781206576</c:v>
                </c:pt>
                <c:pt idx="835">
                  <c:v>7647.4965496796267</c:v>
                </c:pt>
                <c:pt idx="836">
                  <c:v>8957.852470517968</c:v>
                </c:pt>
                <c:pt idx="837">
                  <c:v>5900.8996962179008</c:v>
                </c:pt>
                <c:pt idx="838">
                  <c:v>7629.2722719503236</c:v>
                </c:pt>
                <c:pt idx="839">
                  <c:v>5115.2760116150239</c:v>
                </c:pt>
                <c:pt idx="840">
                  <c:v>7063.3867273035703</c:v>
                </c:pt>
                <c:pt idx="841">
                  <c:v>7415.8616806791706</c:v>
                </c:pt>
                <c:pt idx="842">
                  <c:v>6029.1501515121581</c:v>
                </c:pt>
                <c:pt idx="843">
                  <c:v>6066.4300268135048</c:v>
                </c:pt>
                <c:pt idx="844">
                  <c:v>6383.9467029708521</c:v>
                </c:pt>
                <c:pt idx="845">
                  <c:v>5790.7431236628818</c:v>
                </c:pt>
                <c:pt idx="846">
                  <c:v>7092.5562657608334</c:v>
                </c:pt>
                <c:pt idx="847">
                  <c:v>8216.2657705165711</c:v>
                </c:pt>
                <c:pt idx="848">
                  <c:v>6275.6119533347155</c:v>
                </c:pt>
                <c:pt idx="849">
                  <c:v>7232.9884679729466</c:v>
                </c:pt>
                <c:pt idx="850">
                  <c:v>5933.9239627000188</c:v>
                </c:pt>
                <c:pt idx="851">
                  <c:v>7526.9735141208985</c:v>
                </c:pt>
                <c:pt idx="852">
                  <c:v>8039.8465746692973</c:v>
                </c:pt>
                <c:pt idx="853">
                  <c:v>6499.9185124315663</c:v>
                </c:pt>
                <c:pt idx="854">
                  <c:v>7889.9155361125931</c:v>
                </c:pt>
                <c:pt idx="855">
                  <c:v>6044.5837372122242</c:v>
                </c:pt>
                <c:pt idx="856">
                  <c:v>8692.5572759986353</c:v>
                </c:pt>
                <c:pt idx="857">
                  <c:v>8456.3718570344718</c:v>
                </c:pt>
                <c:pt idx="858">
                  <c:v>6188.0484275944436</c:v>
                </c:pt>
                <c:pt idx="859">
                  <c:v>5397.5043857261535</c:v>
                </c:pt>
                <c:pt idx="860">
                  <c:v>7456.7801258776672</c:v>
                </c:pt>
                <c:pt idx="861">
                  <c:v>7139.43158472916</c:v>
                </c:pt>
                <c:pt idx="862">
                  <c:v>6413.0220894238482</c:v>
                </c:pt>
                <c:pt idx="863">
                  <c:v>6514.4882817195685</c:v>
                </c:pt>
                <c:pt idx="864">
                  <c:v>9338.4738439359498</c:v>
                </c:pt>
                <c:pt idx="865">
                  <c:v>6233.4799790532925</c:v>
                </c:pt>
                <c:pt idx="866">
                  <c:v>7990.8805801538929</c:v>
                </c:pt>
                <c:pt idx="867">
                  <c:v>9443.0106583542492</c:v>
                </c:pt>
                <c:pt idx="868">
                  <c:v>7817.716049724695</c:v>
                </c:pt>
                <c:pt idx="869">
                  <c:v>7712.83679323469</c:v>
                </c:pt>
                <c:pt idx="870">
                  <c:v>7345.0943950743203</c:v>
                </c:pt>
                <c:pt idx="871">
                  <c:v>7694.1959888818965</c:v>
                </c:pt>
                <c:pt idx="872">
                  <c:v>5922.2847247597056</c:v>
                </c:pt>
                <c:pt idx="873">
                  <c:v>6878.9567982793233</c:v>
                </c:pt>
                <c:pt idx="874">
                  <c:v>6187.2297008206369</c:v>
                </c:pt>
                <c:pt idx="875">
                  <c:v>7549.1726014511787</c:v>
                </c:pt>
                <c:pt idx="876">
                  <c:v>8332.4996892650197</c:v>
                </c:pt>
                <c:pt idx="877">
                  <c:v>7327.9983898959817</c:v>
                </c:pt>
                <c:pt idx="878">
                  <c:v>5632.7972826257901</c:v>
                </c:pt>
                <c:pt idx="879">
                  <c:v>6185.4746077336385</c:v>
                </c:pt>
                <c:pt idx="880">
                  <c:v>7129.660939799207</c:v>
                </c:pt>
                <c:pt idx="881">
                  <c:v>7220.4691811304438</c:v>
                </c:pt>
                <c:pt idx="882">
                  <c:v>9458.4018180207404</c:v>
                </c:pt>
                <c:pt idx="883">
                  <c:v>6306.9640845088652</c:v>
                </c:pt>
                <c:pt idx="884">
                  <c:v>8461.169423428355</c:v>
                </c:pt>
                <c:pt idx="885">
                  <c:v>6507.1112168899617</c:v>
                </c:pt>
                <c:pt idx="886">
                  <c:v>5458.7139123860679</c:v>
                </c:pt>
                <c:pt idx="887">
                  <c:v>6406.9003858372125</c:v>
                </c:pt>
                <c:pt idx="888">
                  <c:v>6709.7191643723208</c:v>
                </c:pt>
                <c:pt idx="889">
                  <c:v>8104.6042923254881</c:v>
                </c:pt>
                <c:pt idx="890">
                  <c:v>7649.0904855688623</c:v>
                </c:pt>
                <c:pt idx="891">
                  <c:v>6718.7861478641407</c:v>
                </c:pt>
                <c:pt idx="892">
                  <c:v>6277.5286443127752</c:v>
                </c:pt>
                <c:pt idx="893">
                  <c:v>6578.18345917638</c:v>
                </c:pt>
                <c:pt idx="894">
                  <c:v>7782.7531059599605</c:v>
                </c:pt>
                <c:pt idx="895">
                  <c:v>6800.0315790366603</c:v>
                </c:pt>
                <c:pt idx="896">
                  <c:v>7999.7105227929969</c:v>
                </c:pt>
                <c:pt idx="897">
                  <c:v>8079.7716919891864</c:v>
                </c:pt>
                <c:pt idx="898">
                  <c:v>7198.2114760583227</c:v>
                </c:pt>
                <c:pt idx="899">
                  <c:v>6996.5617440589249</c:v>
                </c:pt>
                <c:pt idx="900">
                  <c:v>8327.3986485763453</c:v>
                </c:pt>
                <c:pt idx="901">
                  <c:v>6420.1664864695322</c:v>
                </c:pt>
                <c:pt idx="902">
                  <c:v>6506.2317060441364</c:v>
                </c:pt>
                <c:pt idx="903">
                  <c:v>5663.1348075358164</c:v>
                </c:pt>
                <c:pt idx="904">
                  <c:v>5833.4587821651967</c:v>
                </c:pt>
                <c:pt idx="905">
                  <c:v>8869.4882286675784</c:v>
                </c:pt>
                <c:pt idx="906">
                  <c:v>5775.2380731993217</c:v>
                </c:pt>
                <c:pt idx="907">
                  <c:v>7025.7171201133206</c:v>
                </c:pt>
                <c:pt idx="908">
                  <c:v>8100.4321477047451</c:v>
                </c:pt>
                <c:pt idx="909">
                  <c:v>7602.351327951641</c:v>
                </c:pt>
                <c:pt idx="910">
                  <c:v>5079.9147956527713</c:v>
                </c:pt>
                <c:pt idx="911">
                  <c:v>7226.5218468673411</c:v>
                </c:pt>
                <c:pt idx="912">
                  <c:v>7237.3497840601012</c:v>
                </c:pt>
                <c:pt idx="913">
                  <c:v>5818.4423026694112</c:v>
                </c:pt>
                <c:pt idx="914">
                  <c:v>6910.6171333294351</c:v>
                </c:pt>
                <c:pt idx="915">
                  <c:v>9413.183881895</c:v>
                </c:pt>
                <c:pt idx="916">
                  <c:v>4988.2858860840497</c:v>
                </c:pt>
                <c:pt idx="917">
                  <c:v>6905.10426549775</c:v>
                </c:pt>
                <c:pt idx="918">
                  <c:v>8204.4950596319431</c:v>
                </c:pt>
                <c:pt idx="919">
                  <c:v>7661.923203662167</c:v>
                </c:pt>
                <c:pt idx="920">
                  <c:v>6249.5665070876539</c:v>
                </c:pt>
                <c:pt idx="921">
                  <c:v>6634.0942376784624</c:v>
                </c:pt>
                <c:pt idx="922">
                  <c:v>7743.5165646274563</c:v>
                </c:pt>
                <c:pt idx="923">
                  <c:v>8418.7056943245461</c:v>
                </c:pt>
                <c:pt idx="924">
                  <c:v>7398.0100559605762</c:v>
                </c:pt>
                <c:pt idx="925">
                  <c:v>7090.9270090665232</c:v>
                </c:pt>
                <c:pt idx="926">
                  <c:v>7902.79572585395</c:v>
                </c:pt>
                <c:pt idx="927">
                  <c:v>7656.0217802853367</c:v>
                </c:pt>
                <c:pt idx="928">
                  <c:v>7105.1444905251728</c:v>
                </c:pt>
                <c:pt idx="929">
                  <c:v>6921.4085296569046</c:v>
                </c:pt>
                <c:pt idx="930">
                  <c:v>7151.073798686296</c:v>
                </c:pt>
                <c:pt idx="931">
                  <c:v>5869.2471625960025</c:v>
                </c:pt>
                <c:pt idx="932">
                  <c:v>5874.1180521607403</c:v>
                </c:pt>
                <c:pt idx="933">
                  <c:v>6729.221654103465</c:v>
                </c:pt>
                <c:pt idx="934">
                  <c:v>6518.4991984874541</c:v>
                </c:pt>
                <c:pt idx="935">
                  <c:v>8960.400845909553</c:v>
                </c:pt>
                <c:pt idx="936">
                  <c:v>8007.2777878926427</c:v>
                </c:pt>
                <c:pt idx="937">
                  <c:v>7211.0667403789048</c:v>
                </c:pt>
                <c:pt idx="938">
                  <c:v>7294.7564368212697</c:v>
                </c:pt>
                <c:pt idx="939">
                  <c:v>7920.3318830083681</c:v>
                </c:pt>
                <c:pt idx="940">
                  <c:v>4798.8054131574245</c:v>
                </c:pt>
                <c:pt idx="941">
                  <c:v>8944.2531134149795</c:v>
                </c:pt>
                <c:pt idx="942">
                  <c:v>5458.2767021450327</c:v>
                </c:pt>
                <c:pt idx="943">
                  <c:v>7108.5486360824216</c:v>
                </c:pt>
                <c:pt idx="944">
                  <c:v>5720.344525644743</c:v>
                </c:pt>
                <c:pt idx="945">
                  <c:v>7970.4114186212028</c:v>
                </c:pt>
                <c:pt idx="946">
                  <c:v>5765.3893506162158</c:v>
                </c:pt>
                <c:pt idx="947">
                  <c:v>6243.5737769437565</c:v>
                </c:pt>
                <c:pt idx="948">
                  <c:v>8037.4297043844108</c:v>
                </c:pt>
                <c:pt idx="949">
                  <c:v>4446.3572168619539</c:v>
                </c:pt>
                <c:pt idx="950">
                  <c:v>8708.4618013019208</c:v>
                </c:pt>
                <c:pt idx="951">
                  <c:v>5003.3040181328925</c:v>
                </c:pt>
                <c:pt idx="952">
                  <c:v>6906.8881925189598</c:v>
                </c:pt>
                <c:pt idx="953">
                  <c:v>5872.3754185051821</c:v>
                </c:pt>
                <c:pt idx="954">
                  <c:v>6818.6468889219414</c:v>
                </c:pt>
                <c:pt idx="955">
                  <c:v>7231.9826405045078</c:v>
                </c:pt>
                <c:pt idx="956">
                  <c:v>6794.0903813763707</c:v>
                </c:pt>
                <c:pt idx="957">
                  <c:v>7702.0964893396867</c:v>
                </c:pt>
                <c:pt idx="958">
                  <c:v>6543.6836000988633</c:v>
                </c:pt>
                <c:pt idx="959">
                  <c:v>6548.357600331763</c:v>
                </c:pt>
                <c:pt idx="960">
                  <c:v>6005.1198847313299</c:v>
                </c:pt>
                <c:pt idx="961">
                  <c:v>5916.8065696542672</c:v>
                </c:pt>
                <c:pt idx="962">
                  <c:v>8014.6661349600799</c:v>
                </c:pt>
                <c:pt idx="963">
                  <c:v>7292.7852604349155</c:v>
                </c:pt>
                <c:pt idx="964">
                  <c:v>9288.420237755452</c:v>
                </c:pt>
                <c:pt idx="965">
                  <c:v>6181.9908904401418</c:v>
                </c:pt>
                <c:pt idx="966">
                  <c:v>7024.5539313955906</c:v>
                </c:pt>
                <c:pt idx="967">
                  <c:v>8040.029173965082</c:v>
                </c:pt>
                <c:pt idx="968">
                  <c:v>8904.1605046088152</c:v>
                </c:pt>
                <c:pt idx="969">
                  <c:v>8335.5904290756953</c:v>
                </c:pt>
                <c:pt idx="970">
                  <c:v>7695.6560712586706</c:v>
                </c:pt>
                <c:pt idx="971">
                  <c:v>5680.2916859750949</c:v>
                </c:pt>
                <c:pt idx="972">
                  <c:v>7587.6434139670009</c:v>
                </c:pt>
                <c:pt idx="973">
                  <c:v>4894.0335288392489</c:v>
                </c:pt>
                <c:pt idx="974">
                  <c:v>6296.624320257697</c:v>
                </c:pt>
                <c:pt idx="975">
                  <c:v>6966.5154564285349</c:v>
                </c:pt>
                <c:pt idx="976">
                  <c:v>5162.0661829855644</c:v>
                </c:pt>
                <c:pt idx="977">
                  <c:v>7060.4354309348837</c:v>
                </c:pt>
                <c:pt idx="978">
                  <c:v>5993.4556021370918</c:v>
                </c:pt>
                <c:pt idx="979">
                  <c:v>5311.3899320591645</c:v>
                </c:pt>
                <c:pt idx="980">
                  <c:v>6257.1177558950958</c:v>
                </c:pt>
                <c:pt idx="981">
                  <c:v>7870.3923230329874</c:v>
                </c:pt>
                <c:pt idx="982">
                  <c:v>5291.401484714308</c:v>
                </c:pt>
                <c:pt idx="983">
                  <c:v>7130.0974423590706</c:v>
                </c:pt>
                <c:pt idx="984">
                  <c:v>8505.8020722565761</c:v>
                </c:pt>
                <c:pt idx="985">
                  <c:v>7177.6564052616104</c:v>
                </c:pt>
                <c:pt idx="986">
                  <c:v>8300.4879341789056</c:v>
                </c:pt>
                <c:pt idx="987">
                  <c:v>5629.0771147043142</c:v>
                </c:pt>
                <c:pt idx="988">
                  <c:v>6762.3966162483339</c:v>
                </c:pt>
                <c:pt idx="989">
                  <c:v>6024.2135635169943</c:v>
                </c:pt>
                <c:pt idx="990">
                  <c:v>7907.2233083931387</c:v>
                </c:pt>
                <c:pt idx="991">
                  <c:v>6354.9378241139439</c:v>
                </c:pt>
                <c:pt idx="992">
                  <c:v>6350.9541145743988</c:v>
                </c:pt>
                <c:pt idx="993">
                  <c:v>5909.7393893655135</c:v>
                </c:pt>
                <c:pt idx="994">
                  <c:v>5618.5630218271526</c:v>
                </c:pt>
                <c:pt idx="995">
                  <c:v>6339.4899176091058</c:v>
                </c:pt>
                <c:pt idx="996">
                  <c:v>6685.4248553301204</c:v>
                </c:pt>
                <c:pt idx="997">
                  <c:v>7463.6639210310859</c:v>
                </c:pt>
                <c:pt idx="998">
                  <c:v>5566.854343220175</c:v>
                </c:pt>
                <c:pt idx="999">
                  <c:v>8489.2975366689025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7B-414A-91FF-296AB5BAE20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0.85699188468144483</c:v>
                </c:pt>
              </c:numCache>
            </c:numRef>
          </c:xVal>
          <c:yVal>
            <c:numRef>
              <c:f>'Parameters and Analysis'!$I$38</c:f>
              <c:numCache>
                <c:formatCode>"£"#,##0</c:formatCode>
                <c:ptCount val="1"/>
                <c:pt idx="0">
                  <c:v>6928.7976386045384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7B-414A-91FF-296AB5BAE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39824"/>
        <c:axId val="452738992"/>
      </c:scatterChart>
      <c:valAx>
        <c:axId val="45273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8992"/>
        <c:crosses val="autoZero"/>
        <c:crossBetween val="midCat"/>
      </c:valAx>
      <c:valAx>
        <c:axId val="4527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Model'!$R$5:$R$50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Model'!$D$5:$D$50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15</xdr:row>
      <xdr:rowOff>0</xdr:rowOff>
    </xdr:from>
    <xdr:to>
      <xdr:col>18</xdr:col>
      <xdr:colOff>561975</xdr:colOff>
      <xdr:row>31</xdr:row>
      <xdr:rowOff>116681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E4572EC-AFD3-413B-ACB4-02C2795622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6"/>
  <sheetViews>
    <sheetView workbookViewId="0">
      <selection activeCell="N36" sqref="N36"/>
    </sheetView>
  </sheetViews>
  <sheetFormatPr defaultRowHeight="12.75" x14ac:dyDescent="0.2"/>
  <sheetData>
    <row r="2" spans="2:5" ht="15.75" x14ac:dyDescent="0.25">
      <c r="E2" s="34" t="s">
        <v>130</v>
      </c>
    </row>
    <row r="3" spans="2:5" ht="15.75" x14ac:dyDescent="0.25">
      <c r="E3" s="34" t="s">
        <v>106</v>
      </c>
    </row>
    <row r="4" spans="2:5" ht="15.75" x14ac:dyDescent="0.25">
      <c r="E4" s="34" t="s">
        <v>107</v>
      </c>
    </row>
    <row r="5" spans="2:5" x14ac:dyDescent="0.2">
      <c r="E5" s="35"/>
    </row>
    <row r="6" spans="2:5" ht="15" x14ac:dyDescent="0.2">
      <c r="E6" s="36" t="s">
        <v>108</v>
      </c>
    </row>
    <row r="8" spans="2:5" x14ac:dyDescent="0.2">
      <c r="E8" s="37" t="s">
        <v>109</v>
      </c>
    </row>
    <row r="9" spans="2:5" x14ac:dyDescent="0.2">
      <c r="E9" s="37" t="s">
        <v>110</v>
      </c>
    </row>
    <row r="12" spans="2:5" x14ac:dyDescent="0.2">
      <c r="B12" t="s">
        <v>114</v>
      </c>
    </row>
    <row r="13" spans="2:5" x14ac:dyDescent="0.2">
      <c r="B13" t="s">
        <v>115</v>
      </c>
    </row>
    <row r="15" spans="2:5" x14ac:dyDescent="0.2">
      <c r="B15" s="40" t="s">
        <v>131</v>
      </c>
    </row>
    <row r="16" spans="2:5" x14ac:dyDescent="0.2">
      <c r="B16" s="38" t="s">
        <v>111</v>
      </c>
    </row>
    <row r="18" spans="2:5" x14ac:dyDescent="0.2">
      <c r="B18" t="s">
        <v>112</v>
      </c>
    </row>
    <row r="19" spans="2:5" x14ac:dyDescent="0.2">
      <c r="B19" s="38" t="s">
        <v>113</v>
      </c>
    </row>
    <row r="21" spans="2:5" x14ac:dyDescent="0.2">
      <c r="B21" t="s">
        <v>116</v>
      </c>
    </row>
    <row r="23" spans="2:5" x14ac:dyDescent="0.2">
      <c r="B23" t="s">
        <v>117</v>
      </c>
    </row>
    <row r="24" spans="2:5" x14ac:dyDescent="0.2">
      <c r="B24" t="s">
        <v>129</v>
      </c>
    </row>
    <row r="26" spans="2:5" x14ac:dyDescent="0.2">
      <c r="E26" s="39" t="s">
        <v>118</v>
      </c>
    </row>
  </sheetData>
  <phoneticPr fontId="0" type="noConversion"/>
  <hyperlinks>
    <hyperlink ref="E26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1037"/>
  <sheetViews>
    <sheetView tabSelected="1" zoomScale="80" zoomScaleNormal="80" workbookViewId="0">
      <selection activeCell="S8" sqref="S8"/>
    </sheetView>
  </sheetViews>
  <sheetFormatPr defaultRowHeight="12.75" x14ac:dyDescent="0.2"/>
  <cols>
    <col min="7" max="7" width="10.42578125" bestFit="1" customWidth="1"/>
    <col min="9" max="9" width="15.5703125" customWidth="1"/>
    <col min="12" max="12" width="10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49" t="s">
        <v>3</v>
      </c>
      <c r="K1" s="9"/>
      <c r="L1"/>
    </row>
    <row r="2" spans="1:15" x14ac:dyDescent="0.2">
      <c r="I2" s="38" t="s">
        <v>128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137</v>
      </c>
      <c r="J4" s="1" t="s">
        <v>58</v>
      </c>
      <c r="K4" s="1" t="s">
        <v>59</v>
      </c>
      <c r="L4" s="1" t="s">
        <v>56</v>
      </c>
      <c r="M4" s="27" t="s">
        <v>119</v>
      </c>
      <c r="N4" s="27" t="s">
        <v>120</v>
      </c>
      <c r="O4" s="27" t="s">
        <v>121</v>
      </c>
    </row>
    <row r="5" spans="1:15" x14ac:dyDescent="0.2">
      <c r="A5" t="s">
        <v>4</v>
      </c>
      <c r="B5" s="43">
        <v>500</v>
      </c>
      <c r="C5" s="38" t="s">
        <v>5</v>
      </c>
      <c r="I5">
        <v>500</v>
      </c>
      <c r="J5">
        <v>250</v>
      </c>
      <c r="K5">
        <v>750</v>
      </c>
      <c r="L5" s="6">
        <f ca="1">NORMINV(RAND(),mean,se)</f>
        <v>677.49626629559657</v>
      </c>
      <c r="M5" s="8">
        <f>(K5-J5)/(2*NORMINV(0.975,0,1))</f>
        <v>127.55336423116351</v>
      </c>
    </row>
    <row r="6" spans="1:15" x14ac:dyDescent="0.2">
      <c r="A6" t="s">
        <v>6</v>
      </c>
      <c r="B6" s="44">
        <v>1000</v>
      </c>
      <c r="C6" s="38" t="s">
        <v>7</v>
      </c>
      <c r="I6">
        <v>1000</v>
      </c>
      <c r="J6">
        <v>500</v>
      </c>
      <c r="K6">
        <v>1500</v>
      </c>
      <c r="L6" s="6">
        <f ca="1">NORMINV(RAND(),mean,se)</f>
        <v>1428.0288391237546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 s="44">
        <v>1000</v>
      </c>
      <c r="C7" s="38" t="s">
        <v>11</v>
      </c>
      <c r="I7">
        <v>1000</v>
      </c>
      <c r="J7">
        <v>800</v>
      </c>
      <c r="K7">
        <v>1200</v>
      </c>
      <c r="L7" s="6">
        <f ca="1">NORMINV(RAND(),mean,se)</f>
        <v>985.73485008848661</v>
      </c>
      <c r="M7" s="8">
        <f t="shared" si="0"/>
        <v>102.04269138493082</v>
      </c>
    </row>
    <row r="8" spans="1:15" x14ac:dyDescent="0.2">
      <c r="A8" t="s">
        <v>105</v>
      </c>
      <c r="B8" s="44">
        <v>0.15</v>
      </c>
      <c r="C8" s="38" t="s">
        <v>13</v>
      </c>
      <c r="I8">
        <v>0.15</v>
      </c>
      <c r="J8" s="8">
        <v>0.1</v>
      </c>
      <c r="K8" s="8">
        <v>0.2</v>
      </c>
      <c r="L8" s="33">
        <f ca="1">BETAINV(RAND(),N8,O8)</f>
        <v>0.15690487549221499</v>
      </c>
      <c r="M8" s="30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 s="44">
        <v>3000</v>
      </c>
      <c r="C9" s="38" t="s">
        <v>15</v>
      </c>
      <c r="I9">
        <v>3000</v>
      </c>
      <c r="J9">
        <v>2000</v>
      </c>
      <c r="K9">
        <v>4000</v>
      </c>
      <c r="L9" s="6">
        <f ca="1">NORMINV(RAND(),mean,se)</f>
        <v>1916.9172807637526</v>
      </c>
      <c r="M9" s="8">
        <f t="shared" si="0"/>
        <v>510.21345692465405</v>
      </c>
      <c r="N9" s="6"/>
      <c r="O9" s="6"/>
    </row>
    <row r="10" spans="1:15" x14ac:dyDescent="0.2">
      <c r="A10" t="s">
        <v>97</v>
      </c>
      <c r="B10" s="45">
        <v>0.5</v>
      </c>
      <c r="C10" s="38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0.51690143211353978</v>
      </c>
      <c r="M10" s="30">
        <f t="shared" si="0"/>
        <v>5.1021345692465393E-2</v>
      </c>
      <c r="N10" s="6"/>
      <c r="O10" s="6"/>
    </row>
    <row r="11" spans="1:15" x14ac:dyDescent="0.2">
      <c r="A11" t="s">
        <v>98</v>
      </c>
      <c r="B11" s="46">
        <v>0.01</v>
      </c>
      <c r="C11" s="38" t="s">
        <v>57</v>
      </c>
      <c r="I11" s="10">
        <v>0.01</v>
      </c>
      <c r="J11" s="10">
        <v>5.0000000000000001E-3</v>
      </c>
      <c r="K11" s="10">
        <v>1.4999999999999999E-2</v>
      </c>
      <c r="L11" s="33">
        <f ca="1">BETAINV(RAND(),N11,O11)</f>
        <v>7.9528548076322186E-3</v>
      </c>
      <c r="M11" s="30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47">
        <v>0.95</v>
      </c>
      <c r="C12" s="38" t="s">
        <v>25</v>
      </c>
      <c r="I12" s="8">
        <v>0.95</v>
      </c>
      <c r="J12" s="8">
        <v>0.9</v>
      </c>
      <c r="K12" s="8">
        <v>1</v>
      </c>
      <c r="L12" s="33">
        <f ca="1">BETAINV(RAND(),N12,O12)</f>
        <v>0.96616026965273882</v>
      </c>
      <c r="M12" s="30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 s="44">
        <v>0.75</v>
      </c>
      <c r="C13" s="38" t="s">
        <v>27</v>
      </c>
      <c r="I13">
        <v>0.75</v>
      </c>
      <c r="J13">
        <v>0.6</v>
      </c>
      <c r="K13">
        <v>0.9</v>
      </c>
      <c r="L13" s="33">
        <f ca="1">BETAINV(RAND(),N13,O13)</f>
        <v>0.75107462439615258</v>
      </c>
      <c r="M13" s="30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B14" s="42"/>
      <c r="C14" s="38"/>
    </row>
    <row r="15" spans="1:15" ht="15.75" x14ac:dyDescent="0.25">
      <c r="A15" t="s">
        <v>16</v>
      </c>
      <c r="B15" s="44">
        <v>1</v>
      </c>
      <c r="C15" s="38" t="s">
        <v>17</v>
      </c>
      <c r="I15" s="2"/>
      <c r="J15" s="2"/>
      <c r="L15" s="3"/>
    </row>
    <row r="16" spans="1:15" x14ac:dyDescent="0.2">
      <c r="A16" t="s">
        <v>20</v>
      </c>
      <c r="B16" s="44">
        <v>55</v>
      </c>
      <c r="C16" s="38" t="s">
        <v>28</v>
      </c>
    </row>
    <row r="17" spans="1:14" x14ac:dyDescent="0.2">
      <c r="A17" t="s">
        <v>8</v>
      </c>
      <c r="B17" s="45">
        <v>0.06</v>
      </c>
      <c r="C17" s="38" t="s">
        <v>9</v>
      </c>
      <c r="I17" s="1"/>
      <c r="J17" s="1"/>
    </row>
    <row r="18" spans="1:14" x14ac:dyDescent="0.2">
      <c r="A18" t="s">
        <v>21</v>
      </c>
      <c r="B18" s="45">
        <v>0.06</v>
      </c>
      <c r="C18" s="38" t="s">
        <v>22</v>
      </c>
    </row>
    <row r="19" spans="1:14" x14ac:dyDescent="0.2">
      <c r="A19" t="s">
        <v>37</v>
      </c>
      <c r="B19" s="44">
        <v>1.6999999999999999E-3</v>
      </c>
      <c r="C19" s="38" t="s">
        <v>99</v>
      </c>
      <c r="I19" t="s">
        <v>126</v>
      </c>
      <c r="L19" s="28"/>
      <c r="M19" s="28"/>
      <c r="N19" s="32"/>
    </row>
    <row r="20" spans="1:14" x14ac:dyDescent="0.2">
      <c r="A20" t="s">
        <v>38</v>
      </c>
      <c r="B20" s="44">
        <v>4.4000000000000003E-3</v>
      </c>
      <c r="C20" s="38" t="s">
        <v>100</v>
      </c>
      <c r="I20" t="s">
        <v>127</v>
      </c>
      <c r="L20" s="28"/>
      <c r="M20" s="28"/>
      <c r="N20" s="32"/>
    </row>
    <row r="21" spans="1:14" x14ac:dyDescent="0.2">
      <c r="A21" t="s">
        <v>39</v>
      </c>
      <c r="B21" s="44">
        <v>1.38E-2</v>
      </c>
      <c r="C21" s="38" t="s">
        <v>101</v>
      </c>
      <c r="L21" s="28"/>
      <c r="M21" s="28"/>
      <c r="N21" s="32"/>
    </row>
    <row r="22" spans="1:14" x14ac:dyDescent="0.2">
      <c r="A22" t="s">
        <v>40</v>
      </c>
      <c r="B22" s="44">
        <v>3.7900000000000003E-2</v>
      </c>
      <c r="C22" s="38" t="s">
        <v>102</v>
      </c>
      <c r="K22" s="30"/>
      <c r="L22" s="28"/>
      <c r="M22" s="28"/>
      <c r="N22" s="32"/>
    </row>
    <row r="23" spans="1:14" x14ac:dyDescent="0.2">
      <c r="A23" t="s">
        <v>41</v>
      </c>
      <c r="B23" s="44">
        <v>9.1200000000000003E-2</v>
      </c>
      <c r="C23" s="38" t="s">
        <v>103</v>
      </c>
      <c r="L23" s="28"/>
      <c r="M23" s="28"/>
      <c r="N23" s="32"/>
    </row>
    <row r="24" spans="1:14" x14ac:dyDescent="0.2">
      <c r="A24" t="s">
        <v>42</v>
      </c>
      <c r="B24" s="44">
        <v>0.1958</v>
      </c>
      <c r="C24" s="38" t="s">
        <v>104</v>
      </c>
      <c r="J24" s="3"/>
      <c r="K24" s="31"/>
      <c r="L24" s="28"/>
      <c r="M24" s="28"/>
      <c r="N24" s="32"/>
    </row>
    <row r="25" spans="1:14" x14ac:dyDescent="0.2">
      <c r="J25" s="10"/>
      <c r="K25" s="30"/>
      <c r="L25" s="28"/>
      <c r="M25" s="28"/>
      <c r="N25" s="32"/>
    </row>
    <row r="26" spans="1:14" x14ac:dyDescent="0.2">
      <c r="J26" s="8"/>
      <c r="K26" s="30"/>
      <c r="L26" s="28"/>
      <c r="M26" s="28"/>
      <c r="N26" s="32"/>
    </row>
    <row r="27" spans="1:14" x14ac:dyDescent="0.2">
      <c r="K27" s="30"/>
      <c r="L27" s="28"/>
      <c r="M27" s="28"/>
      <c r="N27" s="32"/>
    </row>
    <row r="28" spans="1:14" ht="15.75" x14ac:dyDescent="0.25">
      <c r="A28" s="2" t="s">
        <v>60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52</v>
      </c>
      <c r="B31" s="7">
        <f>'Markov Model'!C60</f>
        <v>7.7559516801447357</v>
      </c>
      <c r="C31" s="5">
        <f>'Markov Model'!B60</f>
        <v>9264.8968067327023</v>
      </c>
    </row>
    <row r="32" spans="1:14" x14ac:dyDescent="0.2">
      <c r="A32" t="s">
        <v>53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 x14ac:dyDescent="0.2">
      <c r="A33" t="s">
        <v>61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54</v>
      </c>
      <c r="L33" s="5"/>
    </row>
    <row r="34" spans="1:12" x14ac:dyDescent="0.2">
      <c r="C34" s="5"/>
      <c r="L34" s="5"/>
    </row>
    <row r="35" spans="1:12" x14ac:dyDescent="0.2">
      <c r="A35" s="1" t="s">
        <v>122</v>
      </c>
      <c r="L35" s="5"/>
    </row>
    <row r="36" spans="1:12" x14ac:dyDescent="0.2">
      <c r="L36" s="5"/>
    </row>
    <row r="37" spans="1:12" x14ac:dyDescent="0.2">
      <c r="A37" t="s">
        <v>123</v>
      </c>
      <c r="B37" s="3" t="s">
        <v>124</v>
      </c>
      <c r="C37" t="s">
        <v>125</v>
      </c>
      <c r="D37" t="s">
        <v>54</v>
      </c>
      <c r="G37" s="58" t="s">
        <v>54</v>
      </c>
      <c r="H37" s="3" t="s">
        <v>124</v>
      </c>
      <c r="I37" t="s">
        <v>125</v>
      </c>
      <c r="L37" s="5"/>
    </row>
    <row r="38" spans="1:12" x14ac:dyDescent="0.2">
      <c r="A38">
        <v>1</v>
      </c>
      <c r="B38" s="61">
        <v>0.84965531921645088</v>
      </c>
      <c r="C38" s="60">
        <v>6625.6552955521693</v>
      </c>
      <c r="D38" s="60">
        <v>7798.0507456392143</v>
      </c>
      <c r="F38" s="9" t="s">
        <v>95</v>
      </c>
      <c r="G38" s="28">
        <f>MIN($D$38:$D$1037)</f>
        <v>3715.0625682122977</v>
      </c>
      <c r="H38" s="59">
        <f>AVERAGE(B38:B1037)</f>
        <v>0.85699188468144483</v>
      </c>
      <c r="I38" s="28">
        <f>AVERAGE(C38:C1037)</f>
        <v>6928.7976386045384</v>
      </c>
      <c r="L38" s="5"/>
    </row>
    <row r="39" spans="1:12" x14ac:dyDescent="0.2">
      <c r="A39">
        <v>2</v>
      </c>
      <c r="B39" s="61">
        <v>0.8055575693931436</v>
      </c>
      <c r="C39" s="60">
        <v>6304.2759234445803</v>
      </c>
      <c r="D39" s="60">
        <v>7825.9781336221877</v>
      </c>
      <c r="F39" s="9" t="s">
        <v>94</v>
      </c>
      <c r="G39" s="28">
        <f>MEDIAN($D$38:$D$1037)</f>
        <v>8004.4638675598299</v>
      </c>
      <c r="L39" s="5"/>
    </row>
    <row r="40" spans="1:12" x14ac:dyDescent="0.2">
      <c r="A40">
        <v>3</v>
      </c>
      <c r="B40" s="61">
        <v>0.82967793983152127</v>
      </c>
      <c r="C40" s="60">
        <v>6350.6077557301069</v>
      </c>
      <c r="D40" s="60">
        <v>7654.3047016770079</v>
      </c>
      <c r="F40" s="9" t="s">
        <v>96</v>
      </c>
      <c r="G40" s="28">
        <f>MAX($D$38:$D$1037)</f>
        <v>18091.353295654179</v>
      </c>
      <c r="L40" s="5"/>
    </row>
    <row r="41" spans="1:12" x14ac:dyDescent="0.2">
      <c r="A41">
        <v>4</v>
      </c>
      <c r="B41" s="61">
        <v>0.78973592985946262</v>
      </c>
      <c r="C41" s="60">
        <v>6406.172769334331</v>
      </c>
      <c r="D41" s="60">
        <v>8111.7909507730528</v>
      </c>
      <c r="F41" s="9" t="s">
        <v>32</v>
      </c>
      <c r="G41" s="28">
        <f>AVERAGE($D$38:$D$1037)</f>
        <v>8358.3878806161374</v>
      </c>
    </row>
    <row r="42" spans="1:12" x14ac:dyDescent="0.2">
      <c r="A42">
        <v>5</v>
      </c>
      <c r="B42" s="61">
        <v>0.82970282297388387</v>
      </c>
      <c r="C42" s="60">
        <v>7044.2194841078363</v>
      </c>
      <c r="D42" s="60">
        <v>8490.0512437205052</v>
      </c>
      <c r="F42" s="9" t="s">
        <v>93</v>
      </c>
      <c r="G42" s="28">
        <f>STDEV($D$38:$D$1037)</f>
        <v>2141.0109156863109</v>
      </c>
    </row>
    <row r="43" spans="1:12" x14ac:dyDescent="0.2">
      <c r="A43">
        <v>6</v>
      </c>
      <c r="B43" s="61">
        <v>0.97437163529920934</v>
      </c>
      <c r="C43" s="60">
        <v>5612.4680133083466</v>
      </c>
      <c r="D43" s="60">
        <v>5760.0896926611313</v>
      </c>
      <c r="F43" s="29">
        <v>2.5000000000000001E-2</v>
      </c>
      <c r="G43" s="28">
        <f>PERCENTILE($D$38:$D$1037,0.025)</f>
        <v>5027.4523963591337</v>
      </c>
    </row>
    <row r="44" spans="1:12" x14ac:dyDescent="0.2">
      <c r="A44">
        <v>7</v>
      </c>
      <c r="B44" s="61">
        <v>0.92338472613750611</v>
      </c>
      <c r="C44" s="60">
        <v>5641.200085709077</v>
      </c>
      <c r="D44" s="60">
        <v>6109.2629388684691</v>
      </c>
      <c r="F44" s="29">
        <v>0.97499999999999998</v>
      </c>
      <c r="G44" s="28">
        <f>PERCENTILE($D$38:$D$1037,0.975)</f>
        <v>13385.776923401869</v>
      </c>
    </row>
    <row r="45" spans="1:12" x14ac:dyDescent="0.2">
      <c r="A45">
        <v>8</v>
      </c>
      <c r="B45" s="61">
        <v>0.90208553382024803</v>
      </c>
      <c r="C45" s="60">
        <v>7373.7596914885489</v>
      </c>
      <c r="D45" s="60">
        <v>8174.1247531831768</v>
      </c>
    </row>
    <row r="46" spans="1:12" x14ac:dyDescent="0.2">
      <c r="A46">
        <v>9</v>
      </c>
      <c r="B46" s="61">
        <v>0.85163460480531938</v>
      </c>
      <c r="C46" s="60">
        <v>7733.3166588243721</v>
      </c>
      <c r="D46" s="60">
        <v>9080.5571018244154</v>
      </c>
    </row>
    <row r="47" spans="1:12" x14ac:dyDescent="0.2">
      <c r="A47">
        <v>10</v>
      </c>
      <c r="B47" s="61">
        <v>0.81046615816660239</v>
      </c>
      <c r="C47" s="60">
        <v>7795.8534487816305</v>
      </c>
      <c r="D47" s="60">
        <v>9618.9746730659735</v>
      </c>
    </row>
    <row r="48" spans="1:12" x14ac:dyDescent="0.2">
      <c r="A48">
        <v>11</v>
      </c>
      <c r="B48" s="61">
        <v>0.88476475112353192</v>
      </c>
      <c r="C48" s="60">
        <v>8407.3294273423107</v>
      </c>
      <c r="D48" s="60">
        <v>9502.3331531530112</v>
      </c>
    </row>
    <row r="49" spans="1:5" x14ac:dyDescent="0.2">
      <c r="A49">
        <v>12</v>
      </c>
      <c r="B49" s="61">
        <v>0.94620054832408673</v>
      </c>
      <c r="C49" s="60">
        <v>7834.1742693368269</v>
      </c>
      <c r="D49" s="60">
        <v>8279.6129036415587</v>
      </c>
      <c r="E49" s="4"/>
    </row>
    <row r="50" spans="1:5" x14ac:dyDescent="0.2">
      <c r="A50">
        <v>13</v>
      </c>
      <c r="B50" s="61">
        <v>1.0377186161020715</v>
      </c>
      <c r="C50" s="60">
        <v>7550.9558028847969</v>
      </c>
      <c r="D50" s="60">
        <v>7276.4964275653638</v>
      </c>
    </row>
    <row r="51" spans="1:5" x14ac:dyDescent="0.2">
      <c r="A51">
        <v>14</v>
      </c>
      <c r="B51" s="61">
        <v>0.74616793737120002</v>
      </c>
      <c r="C51" s="60">
        <v>6172.0651121738902</v>
      </c>
      <c r="D51" s="60">
        <v>8271.6836291820473</v>
      </c>
    </row>
    <row r="52" spans="1:5" x14ac:dyDescent="0.2">
      <c r="A52">
        <v>15</v>
      </c>
      <c r="B52" s="61">
        <v>0.80235664597026446</v>
      </c>
      <c r="C52" s="60">
        <v>6336.6119916585594</v>
      </c>
      <c r="D52" s="60">
        <v>7897.5004737399486</v>
      </c>
    </row>
    <row r="53" spans="1:5" x14ac:dyDescent="0.2">
      <c r="A53">
        <v>16</v>
      </c>
      <c r="B53" s="61">
        <v>0.92903598210558513</v>
      </c>
      <c r="C53" s="60">
        <v>7333.8856590307005</v>
      </c>
      <c r="D53" s="60">
        <v>7894.0813922072639</v>
      </c>
    </row>
    <row r="54" spans="1:5" x14ac:dyDescent="0.2">
      <c r="A54">
        <v>17</v>
      </c>
      <c r="B54" s="61">
        <v>0.66555830246896086</v>
      </c>
      <c r="C54" s="60">
        <v>6566.8896480866533</v>
      </c>
      <c r="D54" s="60">
        <v>9866.7383814852328</v>
      </c>
    </row>
    <row r="55" spans="1:5" x14ac:dyDescent="0.2">
      <c r="A55">
        <v>18</v>
      </c>
      <c r="B55" s="61">
        <v>0.84506364901329967</v>
      </c>
      <c r="C55" s="60">
        <v>6086.1277204039488</v>
      </c>
      <c r="D55" s="60">
        <v>7201.9755287192156</v>
      </c>
    </row>
    <row r="56" spans="1:5" x14ac:dyDescent="0.2">
      <c r="A56">
        <v>19</v>
      </c>
      <c r="B56" s="61">
        <v>0.98085018798428969</v>
      </c>
      <c r="C56" s="60">
        <v>7290.3720866475996</v>
      </c>
      <c r="D56" s="60">
        <v>7432.7070290212041</v>
      </c>
    </row>
    <row r="57" spans="1:5" x14ac:dyDescent="0.2">
      <c r="A57">
        <v>20</v>
      </c>
      <c r="B57" s="61">
        <v>0.76685283028293227</v>
      </c>
      <c r="C57" s="60">
        <v>6332.8186103102835</v>
      </c>
      <c r="D57" s="60">
        <v>8258.1929155477901</v>
      </c>
    </row>
    <row r="58" spans="1:5" x14ac:dyDescent="0.2">
      <c r="A58">
        <v>21</v>
      </c>
      <c r="B58" s="61">
        <v>0.82240691363221963</v>
      </c>
      <c r="C58" s="60">
        <v>9188.0556304480451</v>
      </c>
      <c r="D58" s="60">
        <v>11172.152711932264</v>
      </c>
    </row>
    <row r="59" spans="1:5" x14ac:dyDescent="0.2">
      <c r="A59">
        <v>22</v>
      </c>
      <c r="B59" s="61">
        <v>0.86110629920571746</v>
      </c>
      <c r="C59" s="60">
        <v>7183.133427478987</v>
      </c>
      <c r="D59" s="60">
        <v>8341.749948995488</v>
      </c>
    </row>
    <row r="60" spans="1:5" x14ac:dyDescent="0.2">
      <c r="A60">
        <v>23</v>
      </c>
      <c r="B60" s="61">
        <v>0.44183024067157994</v>
      </c>
      <c r="C60" s="60">
        <v>5267.1876606014303</v>
      </c>
      <c r="D60" s="60">
        <v>11921.29278565299</v>
      </c>
    </row>
    <row r="61" spans="1:5" x14ac:dyDescent="0.2">
      <c r="A61">
        <v>24</v>
      </c>
      <c r="B61" s="61">
        <v>0.80444697352117078</v>
      </c>
      <c r="C61" s="60">
        <v>6377.8894538341683</v>
      </c>
      <c r="D61" s="60">
        <v>7928.2906938132946</v>
      </c>
    </row>
    <row r="62" spans="1:5" x14ac:dyDescent="0.2">
      <c r="A62">
        <v>25</v>
      </c>
      <c r="B62" s="61">
        <v>1.1259973571330653</v>
      </c>
      <c r="C62" s="60">
        <v>5298.378218640868</v>
      </c>
      <c r="D62" s="60">
        <v>4705.4979170921179</v>
      </c>
    </row>
    <row r="63" spans="1:5" x14ac:dyDescent="0.2">
      <c r="A63">
        <v>26</v>
      </c>
      <c r="B63" s="61">
        <v>0.66572357451384789</v>
      </c>
      <c r="C63" s="60">
        <v>7577.0159193494128</v>
      </c>
      <c r="D63" s="60">
        <v>11381.624760521083</v>
      </c>
    </row>
    <row r="64" spans="1:5" x14ac:dyDescent="0.2">
      <c r="A64">
        <v>27</v>
      </c>
      <c r="B64" s="61">
        <v>0.92606645819170552</v>
      </c>
      <c r="C64" s="60">
        <v>6908.1033677074629</v>
      </c>
      <c r="D64" s="60">
        <v>7459.6194545223589</v>
      </c>
    </row>
    <row r="65" spans="1:4" x14ac:dyDescent="0.2">
      <c r="A65">
        <v>28</v>
      </c>
      <c r="B65" s="61">
        <v>0.84002779368311131</v>
      </c>
      <c r="C65" s="60">
        <v>6250.4295139773712</v>
      </c>
      <c r="D65" s="60">
        <v>7440.7413194893143</v>
      </c>
    </row>
    <row r="66" spans="1:4" x14ac:dyDescent="0.2">
      <c r="A66">
        <v>29</v>
      </c>
      <c r="B66" s="61">
        <v>0.80484296135255029</v>
      </c>
      <c r="C66" s="60">
        <v>6475.9407922193877</v>
      </c>
      <c r="D66" s="60">
        <v>8046.2165952678215</v>
      </c>
    </row>
    <row r="67" spans="1:4" x14ac:dyDescent="0.2">
      <c r="A67">
        <v>30</v>
      </c>
      <c r="B67" s="61">
        <v>0.9547251633548246</v>
      </c>
      <c r="C67" s="60">
        <v>5671.5563845186207</v>
      </c>
      <c r="D67" s="60">
        <v>5940.5120994080062</v>
      </c>
    </row>
    <row r="68" spans="1:4" x14ac:dyDescent="0.2">
      <c r="A68">
        <v>31</v>
      </c>
      <c r="B68" s="61">
        <v>0.78513844336599448</v>
      </c>
      <c r="C68" s="60">
        <v>7147.0258005504738</v>
      </c>
      <c r="D68" s="60">
        <v>9102.8860717992739</v>
      </c>
    </row>
    <row r="69" spans="1:4" x14ac:dyDescent="0.2">
      <c r="A69">
        <v>32</v>
      </c>
      <c r="B69" s="61">
        <v>0.91927247083843966</v>
      </c>
      <c r="C69" s="60">
        <v>7997.1778193998143</v>
      </c>
      <c r="D69" s="60">
        <v>8699.4640578171984</v>
      </c>
    </row>
    <row r="70" spans="1:4" x14ac:dyDescent="0.2">
      <c r="A70">
        <v>33</v>
      </c>
      <c r="B70" s="61">
        <v>0.71158949431060847</v>
      </c>
      <c r="C70" s="60">
        <v>5059.7666810571245</v>
      </c>
      <c r="D70" s="60">
        <v>7110.5134652937113</v>
      </c>
    </row>
    <row r="71" spans="1:4" x14ac:dyDescent="0.2">
      <c r="A71">
        <v>34</v>
      </c>
      <c r="B71" s="61">
        <v>0.96156372164129955</v>
      </c>
      <c r="C71" s="60">
        <v>6904.9500505249152</v>
      </c>
      <c r="D71" s="60">
        <v>7180.9594051019412</v>
      </c>
    </row>
    <row r="72" spans="1:4" x14ac:dyDescent="0.2">
      <c r="A72">
        <v>35</v>
      </c>
      <c r="B72" s="61">
        <v>0.92508346355783733</v>
      </c>
      <c r="C72" s="60">
        <v>7491.868865437511</v>
      </c>
      <c r="D72" s="60">
        <v>8098.5869497915965</v>
      </c>
    </row>
    <row r="73" spans="1:4" x14ac:dyDescent="0.2">
      <c r="A73">
        <v>36</v>
      </c>
      <c r="B73" s="61">
        <v>1.0605700271691738</v>
      </c>
      <c r="C73" s="60">
        <v>8045.0254556110031</v>
      </c>
      <c r="D73" s="60">
        <v>7585.567430266181</v>
      </c>
    </row>
    <row r="74" spans="1:4" x14ac:dyDescent="0.2">
      <c r="A74">
        <v>37</v>
      </c>
      <c r="B74" s="61">
        <v>0.79620855868449425</v>
      </c>
      <c r="C74" s="60">
        <v>6869.1892307363805</v>
      </c>
      <c r="D74" s="60">
        <v>8627.3742674730111</v>
      </c>
    </row>
    <row r="75" spans="1:4" x14ac:dyDescent="0.2">
      <c r="A75">
        <v>38</v>
      </c>
      <c r="B75" s="61">
        <v>0.91199669159039054</v>
      </c>
      <c r="C75" s="60">
        <v>7806.5826495898546</v>
      </c>
      <c r="D75" s="60">
        <v>8559.8804486629233</v>
      </c>
    </row>
    <row r="76" spans="1:4" x14ac:dyDescent="0.2">
      <c r="A76">
        <v>39</v>
      </c>
      <c r="B76" s="61">
        <v>0.70043863920257543</v>
      </c>
      <c r="C76" s="60">
        <v>6048.2781963130547</v>
      </c>
      <c r="D76" s="60">
        <v>8634.9865038839162</v>
      </c>
    </row>
    <row r="77" spans="1:4" x14ac:dyDescent="0.2">
      <c r="A77">
        <v>40</v>
      </c>
      <c r="B77" s="61">
        <v>0.856334143237377</v>
      </c>
      <c r="C77" s="60">
        <v>6552.1674355542582</v>
      </c>
      <c r="D77" s="60">
        <v>7651.4144476170777</v>
      </c>
    </row>
    <row r="78" spans="1:4" x14ac:dyDescent="0.2">
      <c r="A78">
        <v>41</v>
      </c>
      <c r="B78" s="61">
        <v>0.68788651068870621</v>
      </c>
      <c r="C78" s="60">
        <v>7029.8920109582332</v>
      </c>
      <c r="D78" s="60">
        <v>10219.552065238151</v>
      </c>
    </row>
    <row r="79" spans="1:4" x14ac:dyDescent="0.2">
      <c r="A79">
        <v>42</v>
      </c>
      <c r="B79" s="61">
        <v>0.87292806301087023</v>
      </c>
      <c r="C79" s="60">
        <v>7157.2057497890764</v>
      </c>
      <c r="D79" s="60">
        <v>8199.0785415956434</v>
      </c>
    </row>
    <row r="80" spans="1:4" x14ac:dyDescent="0.2">
      <c r="A80">
        <v>43</v>
      </c>
      <c r="B80" s="61">
        <v>1.0630749913100583</v>
      </c>
      <c r="C80" s="60">
        <v>7120.7095190447417</v>
      </c>
      <c r="D80" s="60">
        <v>6698.219389273454</v>
      </c>
    </row>
    <row r="81" spans="1:4" x14ac:dyDescent="0.2">
      <c r="A81">
        <v>44</v>
      </c>
      <c r="B81" s="61">
        <v>0.82209901100737603</v>
      </c>
      <c r="C81" s="60">
        <v>6968.924470653179</v>
      </c>
      <c r="D81" s="60">
        <v>8476.9892401569286</v>
      </c>
    </row>
    <row r="82" spans="1:4" x14ac:dyDescent="0.2">
      <c r="A82">
        <v>45</v>
      </c>
      <c r="B82" s="61">
        <v>1.0940651947251467</v>
      </c>
      <c r="C82" s="60">
        <v>6159.1494340629897</v>
      </c>
      <c r="D82" s="60">
        <v>5629.6000126485187</v>
      </c>
    </row>
    <row r="83" spans="1:4" x14ac:dyDescent="0.2">
      <c r="A83">
        <v>46</v>
      </c>
      <c r="B83" s="61">
        <v>0.73452227221306465</v>
      </c>
      <c r="C83" s="60">
        <v>5770.4296202855166</v>
      </c>
      <c r="D83" s="60">
        <v>7856.0308360692898</v>
      </c>
    </row>
    <row r="84" spans="1:4" x14ac:dyDescent="0.2">
      <c r="A84">
        <v>47</v>
      </c>
      <c r="B84" s="61">
        <v>0.77469929930983472</v>
      </c>
      <c r="C84" s="60">
        <v>6199.5213571585718</v>
      </c>
      <c r="D84" s="60">
        <v>8002.4873685591438</v>
      </c>
    </row>
    <row r="85" spans="1:4" x14ac:dyDescent="0.2">
      <c r="A85">
        <v>48</v>
      </c>
      <c r="B85" s="61">
        <v>0.79450904918412313</v>
      </c>
      <c r="C85" s="60">
        <v>6277.2356287240782</v>
      </c>
      <c r="D85" s="60">
        <v>7900.7729807107116</v>
      </c>
    </row>
    <row r="86" spans="1:4" x14ac:dyDescent="0.2">
      <c r="A86">
        <v>49</v>
      </c>
      <c r="B86" s="61">
        <v>0.76522549124252937</v>
      </c>
      <c r="C86" s="60">
        <v>7073.5714995558556</v>
      </c>
      <c r="D86" s="60">
        <v>9243.7739993086161</v>
      </c>
    </row>
    <row r="87" spans="1:4" x14ac:dyDescent="0.2">
      <c r="A87">
        <v>50</v>
      </c>
      <c r="B87" s="61">
        <v>0.96215714928217633</v>
      </c>
      <c r="C87" s="60">
        <v>7661.2318731546511</v>
      </c>
      <c r="D87" s="60">
        <v>7962.5577577117874</v>
      </c>
    </row>
    <row r="88" spans="1:4" x14ac:dyDescent="0.2">
      <c r="A88">
        <v>51</v>
      </c>
      <c r="B88" s="61">
        <v>0.62868841852793622</v>
      </c>
      <c r="C88" s="60">
        <v>6223.9822062979147</v>
      </c>
      <c r="D88" s="60">
        <v>9899.9472916508767</v>
      </c>
    </row>
    <row r="89" spans="1:4" x14ac:dyDescent="0.2">
      <c r="A89">
        <v>52</v>
      </c>
      <c r="B89" s="61">
        <v>0.74796680114743275</v>
      </c>
      <c r="C89" s="60">
        <v>7217.3914099007015</v>
      </c>
      <c r="D89" s="60">
        <v>9649.3472689278788</v>
      </c>
    </row>
    <row r="90" spans="1:4" x14ac:dyDescent="0.2">
      <c r="A90">
        <v>53</v>
      </c>
      <c r="B90" s="61">
        <v>0.79738767878075301</v>
      </c>
      <c r="C90" s="60">
        <v>6532.1855487649909</v>
      </c>
      <c r="D90" s="60">
        <v>8191.9820466163219</v>
      </c>
    </row>
    <row r="91" spans="1:4" x14ac:dyDescent="0.2">
      <c r="A91">
        <v>54</v>
      </c>
      <c r="B91" s="62">
        <v>0.73404961350185172</v>
      </c>
      <c r="C91" s="63">
        <v>5546.0958689054223</v>
      </c>
      <c r="D91" s="63">
        <v>7555.478222306062</v>
      </c>
    </row>
    <row r="92" spans="1:4" x14ac:dyDescent="0.2">
      <c r="A92">
        <v>55</v>
      </c>
      <c r="B92" s="61">
        <v>0.60743530741231488</v>
      </c>
      <c r="C92" s="60">
        <v>8471.2915962591214</v>
      </c>
      <c r="D92" s="60">
        <v>13945.998022977908</v>
      </c>
    </row>
    <row r="93" spans="1:4" x14ac:dyDescent="0.2">
      <c r="A93">
        <v>56</v>
      </c>
      <c r="B93" s="61">
        <v>0.8650352134745658</v>
      </c>
      <c r="C93" s="60">
        <v>6228.8516890121155</v>
      </c>
      <c r="D93" s="60">
        <v>7200.6914770473204</v>
      </c>
    </row>
    <row r="94" spans="1:4" x14ac:dyDescent="0.2">
      <c r="A94">
        <v>57</v>
      </c>
      <c r="B94" s="61">
        <v>1.0012461292352928</v>
      </c>
      <c r="C94" s="60">
        <v>7007.3871409747517</v>
      </c>
      <c r="D94" s="60">
        <v>6998.6658987902229</v>
      </c>
    </row>
    <row r="95" spans="1:4" x14ac:dyDescent="0.2">
      <c r="A95">
        <v>58</v>
      </c>
      <c r="B95" s="61">
        <v>0.97461438302764591</v>
      </c>
      <c r="C95" s="60">
        <v>5536.8640447233138</v>
      </c>
      <c r="D95" s="60">
        <v>5681.0818115807087</v>
      </c>
    </row>
    <row r="96" spans="1:4" x14ac:dyDescent="0.2">
      <c r="A96">
        <v>59</v>
      </c>
      <c r="B96" s="61">
        <v>0.99612172828965573</v>
      </c>
      <c r="C96" s="60">
        <v>8124.1476694437861</v>
      </c>
      <c r="D96" s="60">
        <v>8155.7779925079785</v>
      </c>
    </row>
    <row r="97" spans="1:4" x14ac:dyDescent="0.2">
      <c r="A97">
        <v>60</v>
      </c>
      <c r="B97" s="61">
        <v>0.82733846362037955</v>
      </c>
      <c r="C97" s="60">
        <v>5191.6048393332767</v>
      </c>
      <c r="D97" s="60">
        <v>6275.0676628947604</v>
      </c>
    </row>
    <row r="98" spans="1:4" x14ac:dyDescent="0.2">
      <c r="A98">
        <v>61</v>
      </c>
      <c r="B98" s="61">
        <v>1.1411657583616472</v>
      </c>
      <c r="C98" s="60">
        <v>5469.6567166386103</v>
      </c>
      <c r="D98" s="60">
        <v>4793.0431460643422</v>
      </c>
    </row>
    <row r="99" spans="1:4" x14ac:dyDescent="0.2">
      <c r="A99">
        <v>62</v>
      </c>
      <c r="B99" s="61">
        <v>0.90306005473540996</v>
      </c>
      <c r="C99" s="60">
        <v>7597.9534854125068</v>
      </c>
      <c r="D99" s="60">
        <v>8413.5639103632511</v>
      </c>
    </row>
    <row r="100" spans="1:4" x14ac:dyDescent="0.2">
      <c r="A100">
        <v>63</v>
      </c>
      <c r="B100" s="61">
        <v>0.79322356877192224</v>
      </c>
      <c r="C100" s="60">
        <v>7508.3874273809433</v>
      </c>
      <c r="D100" s="60">
        <v>9465.6635568778092</v>
      </c>
    </row>
    <row r="101" spans="1:4" x14ac:dyDescent="0.2">
      <c r="A101">
        <v>64</v>
      </c>
      <c r="B101" s="61">
        <v>0.83428749264390678</v>
      </c>
      <c r="C101" s="60">
        <v>6390.360015436394</v>
      </c>
      <c r="D101" s="60">
        <v>7659.6617734073443</v>
      </c>
    </row>
    <row r="102" spans="1:4" x14ac:dyDescent="0.2">
      <c r="A102">
        <v>65</v>
      </c>
      <c r="B102" s="61">
        <v>0.73121048210483686</v>
      </c>
      <c r="C102" s="60">
        <v>6755.9049169540503</v>
      </c>
      <c r="D102" s="60">
        <v>9239.3436394767468</v>
      </c>
    </row>
    <row r="103" spans="1:4" x14ac:dyDescent="0.2">
      <c r="A103">
        <v>66</v>
      </c>
      <c r="B103" s="61">
        <v>0.83280335559701868</v>
      </c>
      <c r="C103" s="60">
        <v>6520.7306946674616</v>
      </c>
      <c r="D103" s="60">
        <v>7829.8564130939303</v>
      </c>
    </row>
    <row r="104" spans="1:4" x14ac:dyDescent="0.2">
      <c r="A104">
        <v>67</v>
      </c>
      <c r="B104" s="61">
        <v>0.96847330058491377</v>
      </c>
      <c r="C104" s="60">
        <v>5449.7361294677303</v>
      </c>
      <c r="D104" s="60">
        <v>5627.1413225086717</v>
      </c>
    </row>
    <row r="105" spans="1:4" x14ac:dyDescent="0.2">
      <c r="A105">
        <v>68</v>
      </c>
      <c r="B105" s="61">
        <v>1.1365145754892794</v>
      </c>
      <c r="C105" s="60">
        <v>5183.4709594612104</v>
      </c>
      <c r="D105" s="60">
        <v>4560.8486430802541</v>
      </c>
    </row>
    <row r="106" spans="1:4" x14ac:dyDescent="0.2">
      <c r="A106">
        <v>69</v>
      </c>
      <c r="B106" s="61">
        <v>0.91884915267606537</v>
      </c>
      <c r="C106" s="60">
        <v>7711.2400383087825</v>
      </c>
      <c r="D106" s="60">
        <v>8392.2807305752976</v>
      </c>
    </row>
    <row r="107" spans="1:4" x14ac:dyDescent="0.2">
      <c r="A107">
        <v>70</v>
      </c>
      <c r="B107" s="61">
        <v>1.0722530481961261</v>
      </c>
      <c r="C107" s="60">
        <v>5672.5192053628653</v>
      </c>
      <c r="D107" s="60">
        <v>5290.2803259975472</v>
      </c>
    </row>
    <row r="108" spans="1:4" x14ac:dyDescent="0.2">
      <c r="A108">
        <v>71</v>
      </c>
      <c r="B108" s="61">
        <v>0.88922276941205602</v>
      </c>
      <c r="C108" s="60">
        <v>6932.5503919272851</v>
      </c>
      <c r="D108" s="60">
        <v>7796.1908201147489</v>
      </c>
    </row>
    <row r="109" spans="1:4" x14ac:dyDescent="0.2">
      <c r="A109">
        <v>72</v>
      </c>
      <c r="B109" s="61">
        <v>0.77338482237424877</v>
      </c>
      <c r="C109" s="60">
        <v>4821.2042175649603</v>
      </c>
      <c r="D109" s="60">
        <v>6233.9007413723602</v>
      </c>
    </row>
    <row r="110" spans="1:4" x14ac:dyDescent="0.2">
      <c r="A110">
        <v>73</v>
      </c>
      <c r="B110" s="61">
        <v>0.91412040595854016</v>
      </c>
      <c r="C110" s="60">
        <v>7096.9674614924816</v>
      </c>
      <c r="D110" s="60">
        <v>7763.7118865655912</v>
      </c>
    </row>
    <row r="111" spans="1:4" x14ac:dyDescent="0.2">
      <c r="A111">
        <v>74</v>
      </c>
      <c r="B111" s="61">
        <v>0.75556931512871994</v>
      </c>
      <c r="C111" s="60">
        <v>7777.1587234612143</v>
      </c>
      <c r="D111" s="60">
        <v>10293.11086056517</v>
      </c>
    </row>
    <row r="112" spans="1:4" x14ac:dyDescent="0.2">
      <c r="A112">
        <v>75</v>
      </c>
      <c r="B112" s="62">
        <v>0.82531123369384662</v>
      </c>
      <c r="C112" s="63">
        <v>6542.4381373567339</v>
      </c>
      <c r="D112" s="63">
        <v>7927.2374714624139</v>
      </c>
    </row>
    <row r="113" spans="1:4" x14ac:dyDescent="0.2">
      <c r="A113">
        <v>76</v>
      </c>
      <c r="B113" s="61">
        <v>1.0355572181595321</v>
      </c>
      <c r="C113" s="60">
        <v>6619.1500968490491</v>
      </c>
      <c r="D113" s="60">
        <v>6391.8728784615942</v>
      </c>
    </row>
    <row r="114" spans="1:4" x14ac:dyDescent="0.2">
      <c r="A114">
        <v>77</v>
      </c>
      <c r="B114" s="61">
        <v>0.95557329449543182</v>
      </c>
      <c r="C114" s="60">
        <v>7442.3175969652075</v>
      </c>
      <c r="D114" s="60">
        <v>7788.3273212390786</v>
      </c>
    </row>
    <row r="115" spans="1:4" x14ac:dyDescent="0.2">
      <c r="A115">
        <v>78</v>
      </c>
      <c r="B115" s="61">
        <v>0.89895610148760063</v>
      </c>
      <c r="C115" s="60">
        <v>6950.6213969198925</v>
      </c>
      <c r="D115" s="60">
        <v>7731.8807730632698</v>
      </c>
    </row>
    <row r="116" spans="1:4" x14ac:dyDescent="0.2">
      <c r="A116">
        <v>79</v>
      </c>
      <c r="B116" s="62">
        <v>0.89039047392027548</v>
      </c>
      <c r="C116" s="63">
        <v>6253.3599242981009</v>
      </c>
      <c r="D116" s="63">
        <v>7023.1657991188476</v>
      </c>
    </row>
    <row r="117" spans="1:4" x14ac:dyDescent="0.2">
      <c r="A117">
        <v>80</v>
      </c>
      <c r="B117" s="61">
        <v>0.74006092265331969</v>
      </c>
      <c r="C117" s="60">
        <v>6642.5654303657939</v>
      </c>
      <c r="D117" s="60">
        <v>8975.7008200762575</v>
      </c>
    </row>
    <row r="118" spans="1:4" x14ac:dyDescent="0.2">
      <c r="A118">
        <v>81</v>
      </c>
      <c r="B118" s="61">
        <v>0.75086483843243457</v>
      </c>
      <c r="C118" s="60">
        <v>6522.2694341564238</v>
      </c>
      <c r="D118" s="60">
        <v>8686.3428680091547</v>
      </c>
    </row>
    <row r="119" spans="1:4" x14ac:dyDescent="0.2">
      <c r="A119">
        <v>82</v>
      </c>
      <c r="B119" s="61">
        <v>1.0684961558293331</v>
      </c>
      <c r="C119" s="60">
        <v>6285.1752017575745</v>
      </c>
      <c r="D119" s="60">
        <v>5882.2628115860834</v>
      </c>
    </row>
    <row r="120" spans="1:4" x14ac:dyDescent="0.2">
      <c r="A120">
        <v>83</v>
      </c>
      <c r="B120" s="61">
        <v>0.94830377120582909</v>
      </c>
      <c r="C120" s="60">
        <v>7263.4447856811785</v>
      </c>
      <c r="D120" s="60">
        <v>7659.4072555941038</v>
      </c>
    </row>
    <row r="121" spans="1:4" x14ac:dyDescent="0.2">
      <c r="A121">
        <v>84</v>
      </c>
      <c r="B121" s="61">
        <v>0.91224560852715353</v>
      </c>
      <c r="C121" s="60">
        <v>5986.4257948813793</v>
      </c>
      <c r="D121" s="60">
        <v>6562.2960953976353</v>
      </c>
    </row>
    <row r="122" spans="1:4" x14ac:dyDescent="0.2">
      <c r="A122">
        <v>85</v>
      </c>
      <c r="B122" s="61">
        <v>0.88059632016994627</v>
      </c>
      <c r="C122" s="60">
        <v>6157.4228578895618</v>
      </c>
      <c r="D122" s="60">
        <v>6992.3331688477201</v>
      </c>
    </row>
    <row r="123" spans="1:4" x14ac:dyDescent="0.2">
      <c r="A123">
        <v>86</v>
      </c>
      <c r="B123" s="61">
        <v>0.78724625813575866</v>
      </c>
      <c r="C123" s="60">
        <v>8126.9741150121681</v>
      </c>
      <c r="D123" s="60">
        <v>10323.293418068799</v>
      </c>
    </row>
    <row r="124" spans="1:4" x14ac:dyDescent="0.2">
      <c r="A124">
        <v>87</v>
      </c>
      <c r="B124" s="61">
        <v>0.65568540626362015</v>
      </c>
      <c r="C124" s="60">
        <v>6306.0412074563283</v>
      </c>
      <c r="D124" s="60">
        <v>9617.479887787782</v>
      </c>
    </row>
    <row r="125" spans="1:4" x14ac:dyDescent="0.2">
      <c r="A125">
        <v>88</v>
      </c>
      <c r="B125" s="61">
        <v>0.89777059095963008</v>
      </c>
      <c r="C125" s="60">
        <v>6667.1268774302935</v>
      </c>
      <c r="D125" s="60">
        <v>7426.3146337905528</v>
      </c>
    </row>
    <row r="126" spans="1:4" x14ac:dyDescent="0.2">
      <c r="A126">
        <v>89</v>
      </c>
      <c r="B126" s="61">
        <v>0.8733663948529955</v>
      </c>
      <c r="C126" s="60">
        <v>6210.1751777234003</v>
      </c>
      <c r="D126" s="60">
        <v>7110.6184235182227</v>
      </c>
    </row>
    <row r="127" spans="1:4" x14ac:dyDescent="0.2">
      <c r="A127">
        <v>90</v>
      </c>
      <c r="B127" s="61">
        <v>0.92131377597934971</v>
      </c>
      <c r="C127" s="60">
        <v>6742.1595441696172</v>
      </c>
      <c r="D127" s="60">
        <v>7317.9840787713738</v>
      </c>
    </row>
    <row r="128" spans="1:4" x14ac:dyDescent="0.2">
      <c r="A128">
        <v>91</v>
      </c>
      <c r="B128" s="61">
        <v>0.92415883937405319</v>
      </c>
      <c r="C128" s="60">
        <v>6302.4015406772105</v>
      </c>
      <c r="D128" s="60">
        <v>6819.608569611175</v>
      </c>
    </row>
    <row r="129" spans="1:4" x14ac:dyDescent="0.2">
      <c r="A129">
        <v>92</v>
      </c>
      <c r="B129" s="61">
        <v>0.76700918907173588</v>
      </c>
      <c r="C129" s="60">
        <v>8289.9587289156007</v>
      </c>
      <c r="D129" s="60">
        <v>10808.160902150898</v>
      </c>
    </row>
    <row r="130" spans="1:4" x14ac:dyDescent="0.2">
      <c r="A130">
        <v>93</v>
      </c>
      <c r="B130" s="61">
        <v>0.80524761037753567</v>
      </c>
      <c r="C130" s="60">
        <v>5400.1620042478335</v>
      </c>
      <c r="D130" s="60">
        <v>6706.2130140516638</v>
      </c>
    </row>
    <row r="131" spans="1:4" x14ac:dyDescent="0.2">
      <c r="A131">
        <v>94</v>
      </c>
      <c r="B131" s="61">
        <v>0.8726463720794726</v>
      </c>
      <c r="C131" s="60">
        <v>6461.4713802934239</v>
      </c>
      <c r="D131" s="60">
        <v>7404.4556730306012</v>
      </c>
    </row>
    <row r="132" spans="1:4" x14ac:dyDescent="0.2">
      <c r="A132">
        <v>95</v>
      </c>
      <c r="B132" s="61">
        <v>1.1331694108274544</v>
      </c>
      <c r="C132" s="60">
        <v>5698.1287072523319</v>
      </c>
      <c r="D132" s="60">
        <v>5028.4879319955235</v>
      </c>
    </row>
    <row r="133" spans="1:4" x14ac:dyDescent="0.2">
      <c r="A133">
        <v>96</v>
      </c>
      <c r="B133" s="61">
        <v>0.94557626669750228</v>
      </c>
      <c r="C133" s="60">
        <v>7227.8809020632525</v>
      </c>
      <c r="D133" s="60">
        <v>7643.8899289500796</v>
      </c>
    </row>
    <row r="134" spans="1:4" x14ac:dyDescent="0.2">
      <c r="A134">
        <v>97</v>
      </c>
      <c r="B134" s="61">
        <v>0.77605492667112586</v>
      </c>
      <c r="C134" s="60">
        <v>8701.3819037280336</v>
      </c>
      <c r="D134" s="60">
        <v>11212.327381326551</v>
      </c>
    </row>
    <row r="135" spans="1:4" x14ac:dyDescent="0.2">
      <c r="A135">
        <v>98</v>
      </c>
      <c r="B135" s="61">
        <v>0.6291974386305208</v>
      </c>
      <c r="C135" s="60">
        <v>8441.1142365851065</v>
      </c>
      <c r="D135" s="60">
        <v>13415.684359678271</v>
      </c>
    </row>
    <row r="136" spans="1:4" x14ac:dyDescent="0.2">
      <c r="A136">
        <v>99</v>
      </c>
      <c r="B136" s="61">
        <v>0.75043342106599997</v>
      </c>
      <c r="C136" s="60">
        <v>6675.6401174220173</v>
      </c>
      <c r="D136" s="60">
        <v>8895.7127041852527</v>
      </c>
    </row>
    <row r="137" spans="1:4" x14ac:dyDescent="0.2">
      <c r="A137">
        <v>100</v>
      </c>
      <c r="B137" s="61">
        <v>0.91804367768810113</v>
      </c>
      <c r="C137" s="60">
        <v>5068.0490858842568</v>
      </c>
      <c r="D137" s="60">
        <v>5520.4879779217772</v>
      </c>
    </row>
    <row r="138" spans="1:4" x14ac:dyDescent="0.2">
      <c r="A138">
        <v>101</v>
      </c>
      <c r="B138" s="61">
        <v>0.86699176476989415</v>
      </c>
      <c r="C138" s="60">
        <v>7724.8731679681896</v>
      </c>
      <c r="D138" s="60">
        <v>8909.9729453813507</v>
      </c>
    </row>
    <row r="139" spans="1:4" x14ac:dyDescent="0.2">
      <c r="A139">
        <v>102</v>
      </c>
      <c r="B139" s="61">
        <v>0.86186075257462491</v>
      </c>
      <c r="C139" s="60">
        <v>6096.432330576501</v>
      </c>
      <c r="D139" s="60">
        <v>7073.5699616959137</v>
      </c>
    </row>
    <row r="140" spans="1:4" x14ac:dyDescent="0.2">
      <c r="A140">
        <v>103</v>
      </c>
      <c r="B140" s="61">
        <v>1.2969597139287083</v>
      </c>
      <c r="C140" s="60">
        <v>7105.2275004811454</v>
      </c>
      <c r="D140" s="60">
        <v>5478.3717830049018</v>
      </c>
    </row>
    <row r="141" spans="1:4" x14ac:dyDescent="0.2">
      <c r="A141">
        <v>104</v>
      </c>
      <c r="B141" s="61">
        <v>0.66514920661645505</v>
      </c>
      <c r="C141" s="60">
        <v>9405.9686731447091</v>
      </c>
      <c r="D141" s="60">
        <v>14141.140934365532</v>
      </c>
    </row>
    <row r="142" spans="1:4" x14ac:dyDescent="0.2">
      <c r="A142">
        <v>105</v>
      </c>
      <c r="B142" s="61">
        <v>0.76964929659148495</v>
      </c>
      <c r="C142" s="60">
        <v>5985.1278134109234</v>
      </c>
      <c r="D142" s="60">
        <v>7776.4351113124112</v>
      </c>
    </row>
    <row r="143" spans="1:4" x14ac:dyDescent="0.2">
      <c r="A143">
        <v>106</v>
      </c>
      <c r="B143" s="61">
        <v>0.6731917308554598</v>
      </c>
      <c r="C143" s="60">
        <v>7023.3001371498649</v>
      </c>
      <c r="D143" s="60">
        <v>10432.837801238276</v>
      </c>
    </row>
    <row r="144" spans="1:4" x14ac:dyDescent="0.2">
      <c r="A144">
        <v>107</v>
      </c>
      <c r="B144" s="61">
        <v>0.91931856406803369</v>
      </c>
      <c r="C144" s="60">
        <v>7600.4434930292919</v>
      </c>
      <c r="D144" s="60">
        <v>8267.4752692874208</v>
      </c>
    </row>
    <row r="145" spans="1:4" x14ac:dyDescent="0.2">
      <c r="A145">
        <v>108</v>
      </c>
      <c r="B145" s="61">
        <v>0.82879093586683972</v>
      </c>
      <c r="C145" s="60">
        <v>6194.6400452660828</v>
      </c>
      <c r="D145" s="60">
        <v>7474.3095962880607</v>
      </c>
    </row>
    <row r="146" spans="1:4" x14ac:dyDescent="0.2">
      <c r="A146">
        <v>109</v>
      </c>
      <c r="B146" s="61">
        <v>1.0148728114684546</v>
      </c>
      <c r="C146" s="60">
        <v>8125.4593135988489</v>
      </c>
      <c r="D146" s="60">
        <v>8006.3819049816102</v>
      </c>
    </row>
    <row r="147" spans="1:4" x14ac:dyDescent="0.2">
      <c r="A147">
        <v>110</v>
      </c>
      <c r="B147" s="61">
        <v>0.76286207188217059</v>
      </c>
      <c r="C147" s="60">
        <v>6024.8614204029691</v>
      </c>
      <c r="D147" s="60">
        <v>7897.7073870485347</v>
      </c>
    </row>
    <row r="148" spans="1:4" x14ac:dyDescent="0.2">
      <c r="A148">
        <v>111</v>
      </c>
      <c r="B148" s="61">
        <v>0.7491095401428467</v>
      </c>
      <c r="C148" s="60">
        <v>9685.2816570603209</v>
      </c>
      <c r="D148" s="60">
        <v>12929.059287128352</v>
      </c>
    </row>
    <row r="149" spans="1:4" x14ac:dyDescent="0.2">
      <c r="A149">
        <v>112</v>
      </c>
      <c r="B149" s="61">
        <v>0.97505446580348565</v>
      </c>
      <c r="C149" s="60">
        <v>6166.4289771353415</v>
      </c>
      <c r="D149" s="60">
        <v>6324.1892564985546</v>
      </c>
    </row>
    <row r="150" spans="1:4" x14ac:dyDescent="0.2">
      <c r="A150">
        <v>113</v>
      </c>
      <c r="B150" s="61">
        <v>0.76322542024371298</v>
      </c>
      <c r="C150" s="60">
        <v>6759.6238428285233</v>
      </c>
      <c r="D150" s="60">
        <v>8856.6544870453108</v>
      </c>
    </row>
    <row r="151" spans="1:4" x14ac:dyDescent="0.2">
      <c r="A151">
        <v>114</v>
      </c>
      <c r="B151" s="61">
        <v>0.97851129736835141</v>
      </c>
      <c r="C151" s="60">
        <v>5716.5016863992842</v>
      </c>
      <c r="D151" s="60">
        <v>5842.039536767209</v>
      </c>
    </row>
    <row r="152" spans="1:4" x14ac:dyDescent="0.2">
      <c r="A152">
        <v>115</v>
      </c>
      <c r="B152" s="61">
        <v>0.98796781232100894</v>
      </c>
      <c r="C152" s="60">
        <v>6618.6298145471737</v>
      </c>
      <c r="D152" s="60">
        <v>6699.236282807824</v>
      </c>
    </row>
    <row r="153" spans="1:4" x14ac:dyDescent="0.2">
      <c r="A153">
        <v>116</v>
      </c>
      <c r="B153" s="61">
        <v>1.1335129866061049</v>
      </c>
      <c r="C153" s="60">
        <v>5899.8460894787404</v>
      </c>
      <c r="D153" s="60">
        <v>5204.9214779123949</v>
      </c>
    </row>
    <row r="154" spans="1:4" x14ac:dyDescent="0.2">
      <c r="A154">
        <v>117</v>
      </c>
      <c r="B154" s="61">
        <v>0.86660770651631402</v>
      </c>
      <c r="C154" s="60">
        <v>7569.1120178089295</v>
      </c>
      <c r="D154" s="60">
        <v>8734.1849846178811</v>
      </c>
    </row>
    <row r="155" spans="1:4" x14ac:dyDescent="0.2">
      <c r="A155">
        <v>118</v>
      </c>
      <c r="B155" s="61">
        <v>0.63699686322948157</v>
      </c>
      <c r="C155" s="60">
        <v>6721.6792783983474</v>
      </c>
      <c r="D155" s="60">
        <v>10552.138741029916</v>
      </c>
    </row>
    <row r="156" spans="1:4" x14ac:dyDescent="0.2">
      <c r="A156">
        <v>119</v>
      </c>
      <c r="B156" s="61">
        <v>0.89236834715340763</v>
      </c>
      <c r="C156" s="60">
        <v>6604.0028243960496</v>
      </c>
      <c r="D156" s="60">
        <v>7400.5345947806809</v>
      </c>
    </row>
    <row r="157" spans="1:4" x14ac:dyDescent="0.2">
      <c r="A157">
        <v>120</v>
      </c>
      <c r="B157" s="61">
        <v>0.77825961867333682</v>
      </c>
      <c r="C157" s="60">
        <v>6162.3288974761017</v>
      </c>
      <c r="D157" s="60">
        <v>7918.0889636555203</v>
      </c>
    </row>
    <row r="158" spans="1:4" x14ac:dyDescent="0.2">
      <c r="A158">
        <v>121</v>
      </c>
      <c r="B158" s="62">
        <v>1.0041355035706934</v>
      </c>
      <c r="C158" s="63">
        <v>6256.8829130803824</v>
      </c>
      <c r="D158" s="63">
        <v>6231.1141183943646</v>
      </c>
    </row>
    <row r="159" spans="1:4" x14ac:dyDescent="0.2">
      <c r="A159">
        <v>122</v>
      </c>
      <c r="B159" s="61">
        <v>0.9724277842443465</v>
      </c>
      <c r="C159" s="60">
        <v>7625.3137867467231</v>
      </c>
      <c r="D159" s="60">
        <v>7841.5219210053692</v>
      </c>
    </row>
    <row r="160" spans="1:4" x14ac:dyDescent="0.2">
      <c r="A160">
        <v>123</v>
      </c>
      <c r="B160" s="61">
        <v>0.78990797976405247</v>
      </c>
      <c r="C160" s="60">
        <v>7008.0184168171745</v>
      </c>
      <c r="D160" s="60">
        <v>8871.9428039079794</v>
      </c>
    </row>
    <row r="161" spans="1:4" x14ac:dyDescent="0.2">
      <c r="A161">
        <v>124</v>
      </c>
      <c r="B161" s="62">
        <v>0.80517473635233827</v>
      </c>
      <c r="C161" s="63">
        <v>6097.6339458804887</v>
      </c>
      <c r="D161" s="63">
        <v>7573.0567174827638</v>
      </c>
    </row>
    <row r="162" spans="1:4" x14ac:dyDescent="0.2">
      <c r="A162">
        <v>125</v>
      </c>
      <c r="B162" s="61">
        <v>0.74755427462204693</v>
      </c>
      <c r="C162" s="60">
        <v>7148.8531198567925</v>
      </c>
      <c r="D162" s="60">
        <v>9562.9887521827804</v>
      </c>
    </row>
    <row r="163" spans="1:4" x14ac:dyDescent="0.2">
      <c r="A163">
        <v>126</v>
      </c>
      <c r="B163" s="61">
        <v>0.93754012717659485</v>
      </c>
      <c r="C163" s="60">
        <v>8625.6949649191574</v>
      </c>
      <c r="D163" s="60">
        <v>9200.3474996803234</v>
      </c>
    </row>
    <row r="164" spans="1:4" x14ac:dyDescent="0.2">
      <c r="A164">
        <v>127</v>
      </c>
      <c r="B164" s="61">
        <v>0.72730712708436052</v>
      </c>
      <c r="C164" s="60">
        <v>7556.025165802339</v>
      </c>
      <c r="D164" s="60">
        <v>10389.043203925477</v>
      </c>
    </row>
    <row r="165" spans="1:4" x14ac:dyDescent="0.2">
      <c r="A165">
        <v>128</v>
      </c>
      <c r="B165" s="61">
        <v>1.0344076609826507</v>
      </c>
      <c r="C165" s="60">
        <v>6721.4993420153824</v>
      </c>
      <c r="D165" s="60">
        <v>6497.9210765223797</v>
      </c>
    </row>
    <row r="166" spans="1:4" x14ac:dyDescent="0.2">
      <c r="A166">
        <v>129</v>
      </c>
      <c r="B166" s="61">
        <v>0.76745424614433411</v>
      </c>
      <c r="C166" s="60">
        <v>7963.0766372783492</v>
      </c>
      <c r="D166" s="60">
        <v>10375.96270694259</v>
      </c>
    </row>
    <row r="167" spans="1:4" x14ac:dyDescent="0.2">
      <c r="A167">
        <v>130</v>
      </c>
      <c r="B167" s="61">
        <v>0.59594603780001965</v>
      </c>
      <c r="C167" s="60">
        <v>6338.4270021284319</v>
      </c>
      <c r="D167" s="60">
        <v>10635.907615943248</v>
      </c>
    </row>
    <row r="168" spans="1:4" x14ac:dyDescent="0.2">
      <c r="A168">
        <v>131</v>
      </c>
      <c r="B168" s="61">
        <v>0.76493158525302452</v>
      </c>
      <c r="C168" s="60">
        <v>6598.6759241830332</v>
      </c>
      <c r="D168" s="60">
        <v>8626.4916384650514</v>
      </c>
    </row>
    <row r="169" spans="1:4" x14ac:dyDescent="0.2">
      <c r="A169">
        <v>132</v>
      </c>
      <c r="B169" s="61">
        <v>0.91144325737400234</v>
      </c>
      <c r="C169" s="60">
        <v>7932.0120101918947</v>
      </c>
      <c r="D169" s="60">
        <v>8702.6942665033803</v>
      </c>
    </row>
    <row r="170" spans="1:4" x14ac:dyDescent="0.2">
      <c r="A170">
        <v>133</v>
      </c>
      <c r="B170" s="61">
        <v>1.0790625963134293</v>
      </c>
      <c r="C170" s="60">
        <v>5608.3154222896173</v>
      </c>
      <c r="D170" s="60">
        <v>5197.3958150807794</v>
      </c>
    </row>
    <row r="171" spans="1:4" x14ac:dyDescent="0.2">
      <c r="A171">
        <v>134</v>
      </c>
      <c r="B171" s="61">
        <v>1.097808050023068</v>
      </c>
      <c r="C171" s="60">
        <v>6355.2742891026264</v>
      </c>
      <c r="D171" s="60">
        <v>5789.0578311655527</v>
      </c>
    </row>
    <row r="172" spans="1:4" x14ac:dyDescent="0.2">
      <c r="A172">
        <v>135</v>
      </c>
      <c r="B172" s="61">
        <v>0.67700099342150821</v>
      </c>
      <c r="C172" s="60">
        <v>5723.1495222423309</v>
      </c>
      <c r="D172" s="60">
        <v>8453.6796516619524</v>
      </c>
    </row>
    <row r="173" spans="1:4" x14ac:dyDescent="0.2">
      <c r="A173">
        <v>136</v>
      </c>
      <c r="B173" s="61">
        <v>0.68826893332983019</v>
      </c>
      <c r="C173" s="60">
        <v>9307.2367715459277</v>
      </c>
      <c r="D173" s="60">
        <v>13522.674525665016</v>
      </c>
    </row>
    <row r="174" spans="1:4" x14ac:dyDescent="0.2">
      <c r="A174">
        <v>137</v>
      </c>
      <c r="B174" s="61">
        <v>1.1019982529562924</v>
      </c>
      <c r="C174" s="60">
        <v>8309.9568607572874</v>
      </c>
      <c r="D174" s="60">
        <v>7540.8076541541286</v>
      </c>
    </row>
    <row r="175" spans="1:4" x14ac:dyDescent="0.2">
      <c r="A175">
        <v>138</v>
      </c>
      <c r="B175" s="61">
        <v>0.7446867495337024</v>
      </c>
      <c r="C175" s="60">
        <v>8323.5895048484508</v>
      </c>
      <c r="D175" s="60">
        <v>11177.303087587365</v>
      </c>
    </row>
    <row r="176" spans="1:4" x14ac:dyDescent="0.2">
      <c r="A176">
        <v>139</v>
      </c>
      <c r="B176" s="61">
        <v>0.90218294057906778</v>
      </c>
      <c r="C176" s="60">
        <v>7622.5688904495328</v>
      </c>
      <c r="D176" s="60">
        <v>8449.0279605120577</v>
      </c>
    </row>
    <row r="177" spans="1:4" x14ac:dyDescent="0.2">
      <c r="A177">
        <v>140</v>
      </c>
      <c r="B177" s="61">
        <v>0.76062561055643929</v>
      </c>
      <c r="C177" s="60">
        <v>7432.533299763476</v>
      </c>
      <c r="D177" s="60">
        <v>9771.6053688044649</v>
      </c>
    </row>
    <row r="178" spans="1:4" x14ac:dyDescent="0.2">
      <c r="A178">
        <v>141</v>
      </c>
      <c r="B178" s="61">
        <v>1.0128541540517944</v>
      </c>
      <c r="C178" s="60">
        <v>6505.3186171014295</v>
      </c>
      <c r="D178" s="60">
        <v>6422.7594773420524</v>
      </c>
    </row>
    <row r="179" spans="1:4" x14ac:dyDescent="0.2">
      <c r="A179">
        <v>142</v>
      </c>
      <c r="B179" s="61">
        <v>0.81310649047594907</v>
      </c>
      <c r="C179" s="60">
        <v>8546.4622542124089</v>
      </c>
      <c r="D179" s="60">
        <v>10510.876932257381</v>
      </c>
    </row>
    <row r="180" spans="1:4" x14ac:dyDescent="0.2">
      <c r="A180">
        <v>143</v>
      </c>
      <c r="B180" s="61">
        <v>0.93133705047301252</v>
      </c>
      <c r="C180" s="60">
        <v>6299.9212414091271</v>
      </c>
      <c r="D180" s="60">
        <v>6764.383783732741</v>
      </c>
    </row>
    <row r="181" spans="1:4" x14ac:dyDescent="0.2">
      <c r="A181">
        <v>144</v>
      </c>
      <c r="B181" s="61">
        <v>0.90223599389562104</v>
      </c>
      <c r="C181" s="60">
        <v>6529.8868602752646</v>
      </c>
      <c r="D181" s="60">
        <v>7237.4488542414565</v>
      </c>
    </row>
    <row r="182" spans="1:4" x14ac:dyDescent="0.2">
      <c r="A182">
        <v>145</v>
      </c>
      <c r="B182" s="61">
        <v>0.92345759251079862</v>
      </c>
      <c r="C182" s="60">
        <v>6710.6542970971623</v>
      </c>
      <c r="D182" s="60">
        <v>7266.8786867099043</v>
      </c>
    </row>
    <row r="183" spans="1:4" x14ac:dyDescent="0.2">
      <c r="A183">
        <v>146</v>
      </c>
      <c r="B183" s="61">
        <v>0.80199635790150658</v>
      </c>
      <c r="C183" s="60">
        <v>10021.569739900633</v>
      </c>
      <c r="D183" s="60">
        <v>12495.779614414889</v>
      </c>
    </row>
    <row r="184" spans="1:4" x14ac:dyDescent="0.2">
      <c r="A184">
        <v>147</v>
      </c>
      <c r="B184" s="61">
        <v>1.0282006086578601</v>
      </c>
      <c r="C184" s="60">
        <v>8519.5480668986183</v>
      </c>
      <c r="D184" s="60">
        <v>8285.8811745107123</v>
      </c>
    </row>
    <row r="185" spans="1:4" x14ac:dyDescent="0.2">
      <c r="A185">
        <v>148</v>
      </c>
      <c r="B185" s="61">
        <v>0.83783515437327871</v>
      </c>
      <c r="C185" s="60">
        <v>6223.343306150452</v>
      </c>
      <c r="D185" s="60">
        <v>7427.8851557686976</v>
      </c>
    </row>
    <row r="186" spans="1:4" x14ac:dyDescent="0.2">
      <c r="A186">
        <v>149</v>
      </c>
      <c r="B186" s="61">
        <v>0.8392377484421889</v>
      </c>
      <c r="C186" s="60">
        <v>7783.4783321139221</v>
      </c>
      <c r="D186" s="60">
        <v>9274.4616725853684</v>
      </c>
    </row>
    <row r="187" spans="1:4" x14ac:dyDescent="0.2">
      <c r="A187">
        <v>150</v>
      </c>
      <c r="B187" s="61">
        <v>0.89800805886844426</v>
      </c>
      <c r="C187" s="60">
        <v>5520.7484816343058</v>
      </c>
      <c r="D187" s="60">
        <v>6147.7716453801677</v>
      </c>
    </row>
    <row r="188" spans="1:4" x14ac:dyDescent="0.2">
      <c r="A188">
        <v>151</v>
      </c>
      <c r="B188" s="61">
        <v>0.85591519628692581</v>
      </c>
      <c r="C188" s="60">
        <v>6663.5068076371153</v>
      </c>
      <c r="D188" s="60">
        <v>7785.2418516978032</v>
      </c>
    </row>
    <row r="189" spans="1:4" x14ac:dyDescent="0.2">
      <c r="A189">
        <v>152</v>
      </c>
      <c r="B189" s="61">
        <v>0.53125450572152122</v>
      </c>
      <c r="C189" s="60">
        <v>7415.6426435879703</v>
      </c>
      <c r="D189" s="60">
        <v>13958.738351812084</v>
      </c>
    </row>
    <row r="190" spans="1:4" x14ac:dyDescent="0.2">
      <c r="A190">
        <v>153</v>
      </c>
      <c r="B190" s="61">
        <v>0.962112878340319</v>
      </c>
      <c r="C190" s="60">
        <v>5683.0629609927855</v>
      </c>
      <c r="D190" s="60">
        <v>5906.8567617515764</v>
      </c>
    </row>
    <row r="191" spans="1:4" x14ac:dyDescent="0.2">
      <c r="A191">
        <v>154</v>
      </c>
      <c r="B191" s="61">
        <v>1.1224412135227446</v>
      </c>
      <c r="C191" s="60">
        <v>8020.256421372691</v>
      </c>
      <c r="D191" s="60">
        <v>7145.3687950403937</v>
      </c>
    </row>
    <row r="192" spans="1:4" x14ac:dyDescent="0.2">
      <c r="A192">
        <v>155</v>
      </c>
      <c r="B192" s="61">
        <v>0.85674311239871948</v>
      </c>
      <c r="C192" s="60">
        <v>8134.2010769126146</v>
      </c>
      <c r="D192" s="60">
        <v>9494.3291159217879</v>
      </c>
    </row>
    <row r="193" spans="1:4" x14ac:dyDescent="0.2">
      <c r="A193">
        <v>156</v>
      </c>
      <c r="B193" s="61">
        <v>0.73277140526726559</v>
      </c>
      <c r="C193" s="60">
        <v>8783.4463691365163</v>
      </c>
      <c r="D193" s="60">
        <v>11986.611794619506</v>
      </c>
    </row>
    <row r="194" spans="1:4" x14ac:dyDescent="0.2">
      <c r="A194">
        <v>157</v>
      </c>
      <c r="B194" s="61">
        <v>1.0020547855672062</v>
      </c>
      <c r="C194" s="60">
        <v>6914.2922740431486</v>
      </c>
      <c r="D194" s="60">
        <v>6900.1140193441233</v>
      </c>
    </row>
    <row r="195" spans="1:4" x14ac:dyDescent="0.2">
      <c r="A195">
        <v>158</v>
      </c>
      <c r="B195" s="61">
        <v>0.6823199339275039</v>
      </c>
      <c r="C195" s="60">
        <v>7157.7431872880697</v>
      </c>
      <c r="D195" s="60">
        <v>10490.303494560627</v>
      </c>
    </row>
    <row r="196" spans="1:4" x14ac:dyDescent="0.2">
      <c r="A196">
        <v>159</v>
      </c>
      <c r="B196" s="61">
        <v>0.88379669812748141</v>
      </c>
      <c r="C196" s="60">
        <v>8487.4893171731273</v>
      </c>
      <c r="D196" s="60">
        <v>9603.440853711887</v>
      </c>
    </row>
    <row r="197" spans="1:4" x14ac:dyDescent="0.2">
      <c r="A197">
        <v>160</v>
      </c>
      <c r="B197" s="61">
        <v>1.0960206391192671</v>
      </c>
      <c r="C197" s="60">
        <v>8168.3317118995838</v>
      </c>
      <c r="D197" s="60">
        <v>7452.7170569191449</v>
      </c>
    </row>
    <row r="198" spans="1:4" x14ac:dyDescent="0.2">
      <c r="A198">
        <v>161</v>
      </c>
      <c r="B198" s="61">
        <v>0.7453077620170685</v>
      </c>
      <c r="C198" s="60">
        <v>7527.7409131728473</v>
      </c>
      <c r="D198" s="60">
        <v>10100.177801449561</v>
      </c>
    </row>
    <row r="199" spans="1:4" x14ac:dyDescent="0.2">
      <c r="A199">
        <v>162</v>
      </c>
      <c r="B199" s="61">
        <v>0.6676366949282091</v>
      </c>
      <c r="C199" s="60">
        <v>7246.4637296427245</v>
      </c>
      <c r="D199" s="60">
        <v>10853.902705904948</v>
      </c>
    </row>
    <row r="200" spans="1:4" x14ac:dyDescent="0.2">
      <c r="A200">
        <v>163</v>
      </c>
      <c r="B200" s="61">
        <v>0.82183441695799253</v>
      </c>
      <c r="C200" s="60">
        <v>6627.7614547151534</v>
      </c>
      <c r="D200" s="60">
        <v>8064.5946652462071</v>
      </c>
    </row>
    <row r="201" spans="1:4" x14ac:dyDescent="0.2">
      <c r="A201">
        <v>164</v>
      </c>
      <c r="B201" s="61">
        <v>1.0552955914489122</v>
      </c>
      <c r="C201" s="60">
        <v>5173.1545035040162</v>
      </c>
      <c r="D201" s="60">
        <v>4902.0905094479904</v>
      </c>
    </row>
    <row r="202" spans="1:4" x14ac:dyDescent="0.2">
      <c r="A202">
        <v>165</v>
      </c>
      <c r="B202" s="61">
        <v>0.85168576247823946</v>
      </c>
      <c r="C202" s="60">
        <v>7368.9797694865829</v>
      </c>
      <c r="D202" s="60">
        <v>8652.2284322850355</v>
      </c>
    </row>
    <row r="203" spans="1:4" x14ac:dyDescent="0.2">
      <c r="A203">
        <v>166</v>
      </c>
      <c r="B203" s="61">
        <v>0.55662758137355262</v>
      </c>
      <c r="C203" s="60">
        <v>6113.3080703476826</v>
      </c>
      <c r="D203" s="60">
        <v>10982.761679294226</v>
      </c>
    </row>
    <row r="204" spans="1:4" x14ac:dyDescent="0.2">
      <c r="A204">
        <v>167</v>
      </c>
      <c r="B204" s="61">
        <v>0.79035847883545962</v>
      </c>
      <c r="C204" s="60">
        <v>6311.0497862924658</v>
      </c>
      <c r="D204" s="60">
        <v>7985.0472352638963</v>
      </c>
    </row>
    <row r="205" spans="1:4" x14ac:dyDescent="0.2">
      <c r="A205">
        <v>168</v>
      </c>
      <c r="B205" s="61">
        <v>0.69380211189198704</v>
      </c>
      <c r="C205" s="60">
        <v>6969.6413598648824</v>
      </c>
      <c r="D205" s="60">
        <v>10045.57530224113</v>
      </c>
    </row>
    <row r="206" spans="1:4" x14ac:dyDescent="0.2">
      <c r="A206">
        <v>169</v>
      </c>
      <c r="B206" s="61">
        <v>0.91347629721950874</v>
      </c>
      <c r="C206" s="60">
        <v>5931.004145741801</v>
      </c>
      <c r="D206" s="60">
        <v>6492.7838453990871</v>
      </c>
    </row>
    <row r="207" spans="1:4" x14ac:dyDescent="0.2">
      <c r="A207">
        <v>170</v>
      </c>
      <c r="B207" s="61">
        <v>0.7649197486167818</v>
      </c>
      <c r="C207" s="60">
        <v>7635.5124084905092</v>
      </c>
      <c r="D207" s="60">
        <v>9982.1091327527411</v>
      </c>
    </row>
    <row r="208" spans="1:4" x14ac:dyDescent="0.2">
      <c r="A208">
        <v>171</v>
      </c>
      <c r="B208" s="61">
        <v>1.1089423658337694</v>
      </c>
      <c r="C208" s="60">
        <v>7142.1574824233885</v>
      </c>
      <c r="D208" s="60">
        <v>6440.5127826940634</v>
      </c>
    </row>
    <row r="209" spans="1:4" x14ac:dyDescent="0.2">
      <c r="A209">
        <v>172</v>
      </c>
      <c r="B209" s="61">
        <v>0.96371683728214652</v>
      </c>
      <c r="C209" s="60">
        <v>6113.7861873631264</v>
      </c>
      <c r="D209" s="60">
        <v>6343.9653130945544</v>
      </c>
    </row>
    <row r="210" spans="1:4" x14ac:dyDescent="0.2">
      <c r="A210">
        <v>173</v>
      </c>
      <c r="B210" s="61">
        <v>0.90238062308499156</v>
      </c>
      <c r="C210" s="60">
        <v>6565.2715330928568</v>
      </c>
      <c r="D210" s="60">
        <v>7275.5014515360454</v>
      </c>
    </row>
    <row r="211" spans="1:4" x14ac:dyDescent="0.2">
      <c r="A211">
        <v>174</v>
      </c>
      <c r="B211" s="61">
        <v>0.74129801840553355</v>
      </c>
      <c r="C211" s="60">
        <v>9890.3184016370815</v>
      </c>
      <c r="D211" s="60">
        <v>13341.892405041472</v>
      </c>
    </row>
    <row r="212" spans="1:4" x14ac:dyDescent="0.2">
      <c r="A212">
        <v>175</v>
      </c>
      <c r="B212" s="61">
        <v>0.7817661668931235</v>
      </c>
      <c r="C212" s="60">
        <v>5556.2695639778976</v>
      </c>
      <c r="D212" s="60">
        <v>7107.3292747619043</v>
      </c>
    </row>
    <row r="213" spans="1:4" x14ac:dyDescent="0.2">
      <c r="A213">
        <v>176</v>
      </c>
      <c r="B213" s="61">
        <v>0.96706886871237696</v>
      </c>
      <c r="C213" s="60">
        <v>6651.8196514386582</v>
      </c>
      <c r="D213" s="60">
        <v>6878.3308683024361</v>
      </c>
    </row>
    <row r="214" spans="1:4" x14ac:dyDescent="0.2">
      <c r="A214">
        <v>177</v>
      </c>
      <c r="B214" s="61">
        <v>0.95466115246746508</v>
      </c>
      <c r="C214" s="60">
        <v>5821.6445995942813</v>
      </c>
      <c r="D214" s="60">
        <v>6098.1266332534497</v>
      </c>
    </row>
    <row r="215" spans="1:4" x14ac:dyDescent="0.2">
      <c r="A215">
        <v>178</v>
      </c>
      <c r="B215" s="62">
        <v>0.87234190246864607</v>
      </c>
      <c r="C215" s="63">
        <v>6964.8267324289136</v>
      </c>
      <c r="D215" s="63">
        <v>7984.0561512855274</v>
      </c>
    </row>
    <row r="216" spans="1:4" x14ac:dyDescent="0.2">
      <c r="A216">
        <v>179</v>
      </c>
      <c r="B216" s="61">
        <v>1.0166053668669957</v>
      </c>
      <c r="C216" s="60">
        <v>4485.4709318890382</v>
      </c>
      <c r="D216" s="60">
        <v>4412.2046549021225</v>
      </c>
    </row>
    <row r="217" spans="1:4" x14ac:dyDescent="0.2">
      <c r="A217">
        <v>180</v>
      </c>
      <c r="B217" s="61">
        <v>0.86907415044292158</v>
      </c>
      <c r="C217" s="60">
        <v>7507.6622535448023</v>
      </c>
      <c r="D217" s="60">
        <v>8638.6900930358352</v>
      </c>
    </row>
    <row r="218" spans="1:4" x14ac:dyDescent="0.2">
      <c r="A218">
        <v>181</v>
      </c>
      <c r="B218" s="62">
        <v>0.97812956911428817</v>
      </c>
      <c r="C218" s="63">
        <v>7183.7187539578636</v>
      </c>
      <c r="D218" s="63">
        <v>7344.3426932311586</v>
      </c>
    </row>
    <row r="219" spans="1:4" x14ac:dyDescent="0.2">
      <c r="A219">
        <v>182</v>
      </c>
      <c r="B219" s="61">
        <v>0.86663959194610207</v>
      </c>
      <c r="C219" s="60">
        <v>5656.9078347404202</v>
      </c>
      <c r="D219" s="60">
        <v>6527.4052643238037</v>
      </c>
    </row>
    <row r="220" spans="1:4" x14ac:dyDescent="0.2">
      <c r="A220">
        <v>183</v>
      </c>
      <c r="B220" s="61">
        <v>1.0220513814419974</v>
      </c>
      <c r="C220" s="60">
        <v>5429.6023098157202</v>
      </c>
      <c r="D220" s="60">
        <v>5312.4553309200301</v>
      </c>
    </row>
    <row r="221" spans="1:4" x14ac:dyDescent="0.2">
      <c r="A221">
        <v>184</v>
      </c>
      <c r="B221" s="61">
        <v>0.79440108919869523</v>
      </c>
      <c r="C221" s="60">
        <v>8719.8859755580561</v>
      </c>
      <c r="D221" s="60">
        <v>10976.679279674354</v>
      </c>
    </row>
    <row r="222" spans="1:4" x14ac:dyDescent="0.2">
      <c r="A222">
        <v>185</v>
      </c>
      <c r="B222" s="61">
        <v>0.85272886070888987</v>
      </c>
      <c r="C222" s="60">
        <v>6717.3787172367538</v>
      </c>
      <c r="D222" s="60">
        <v>7877.508346149406</v>
      </c>
    </row>
    <row r="223" spans="1:4" x14ac:dyDescent="0.2">
      <c r="A223">
        <v>186</v>
      </c>
      <c r="B223" s="61">
        <v>0.80954465003854104</v>
      </c>
      <c r="C223" s="60">
        <v>4702.1777749798512</v>
      </c>
      <c r="D223" s="60">
        <v>5808.4230125614304</v>
      </c>
    </row>
    <row r="224" spans="1:4" x14ac:dyDescent="0.2">
      <c r="A224">
        <v>187</v>
      </c>
      <c r="B224" s="61">
        <v>0.93113354502956636</v>
      </c>
      <c r="C224" s="60">
        <v>6466.7401576265165</v>
      </c>
      <c r="D224" s="60">
        <v>6945.018995552542</v>
      </c>
    </row>
    <row r="225" spans="1:4" x14ac:dyDescent="0.2">
      <c r="A225">
        <v>188</v>
      </c>
      <c r="B225" s="61">
        <v>0.92962415457908421</v>
      </c>
      <c r="C225" s="60">
        <v>6576.817170573122</v>
      </c>
      <c r="D225" s="60">
        <v>7074.7055551186459</v>
      </c>
    </row>
    <row r="226" spans="1:4" x14ac:dyDescent="0.2">
      <c r="A226">
        <v>189</v>
      </c>
      <c r="B226" s="61">
        <v>0.97929761137011262</v>
      </c>
      <c r="C226" s="60">
        <v>6125.6840805635238</v>
      </c>
      <c r="D226" s="60">
        <v>6255.1812742535139</v>
      </c>
    </row>
    <row r="227" spans="1:4" x14ac:dyDescent="0.2">
      <c r="A227">
        <v>190</v>
      </c>
      <c r="B227" s="61">
        <v>0.85798867039857907</v>
      </c>
      <c r="C227" s="60">
        <v>6153.4850681090247</v>
      </c>
      <c r="D227" s="60">
        <v>7171.9887224739459</v>
      </c>
    </row>
    <row r="228" spans="1:4" x14ac:dyDescent="0.2">
      <c r="A228">
        <v>191</v>
      </c>
      <c r="B228" s="61">
        <v>0.97427461484419187</v>
      </c>
      <c r="C228" s="60">
        <v>7415.0245117861341</v>
      </c>
      <c r="D228" s="60">
        <v>7610.8156764116875</v>
      </c>
    </row>
    <row r="229" spans="1:4" x14ac:dyDescent="0.2">
      <c r="A229">
        <v>192</v>
      </c>
      <c r="B229" s="61">
        <v>1.0223383625287008</v>
      </c>
      <c r="C229" s="60">
        <v>5340.4963185703655</v>
      </c>
      <c r="D229" s="60">
        <v>5223.8050671999881</v>
      </c>
    </row>
    <row r="230" spans="1:4" x14ac:dyDescent="0.2">
      <c r="A230">
        <v>193</v>
      </c>
      <c r="B230" s="62">
        <v>0.69650163688876532</v>
      </c>
      <c r="C230" s="63">
        <v>6340.0654145973858</v>
      </c>
      <c r="D230" s="63">
        <v>9102.7286639527665</v>
      </c>
    </row>
    <row r="231" spans="1:4" x14ac:dyDescent="0.2">
      <c r="A231">
        <v>194</v>
      </c>
      <c r="B231" s="61">
        <v>0.99341553733521426</v>
      </c>
      <c r="C231" s="60">
        <v>5878.7140511049165</v>
      </c>
      <c r="D231" s="60">
        <v>5917.6787861344128</v>
      </c>
    </row>
    <row r="232" spans="1:4" x14ac:dyDescent="0.2">
      <c r="A232">
        <v>195</v>
      </c>
      <c r="B232" s="61">
        <v>0.70306178842061762</v>
      </c>
      <c r="C232" s="60">
        <v>5578.9238618053787</v>
      </c>
      <c r="D232" s="60">
        <v>7935.1828725296918</v>
      </c>
    </row>
    <row r="233" spans="1:4" x14ac:dyDescent="0.2">
      <c r="A233">
        <v>196</v>
      </c>
      <c r="B233" s="61">
        <v>0.73956035454832936</v>
      </c>
      <c r="C233" s="60">
        <v>6763.7173073915674</v>
      </c>
      <c r="D233" s="60">
        <v>9145.5920612758673</v>
      </c>
    </row>
    <row r="234" spans="1:4" x14ac:dyDescent="0.2">
      <c r="A234">
        <v>197</v>
      </c>
      <c r="B234" s="61">
        <v>0.91794838994834027</v>
      </c>
      <c r="C234" s="60">
        <v>7240.9994456668464</v>
      </c>
      <c r="D234" s="60">
        <v>7888.2424381988958</v>
      </c>
    </row>
    <row r="235" spans="1:4" x14ac:dyDescent="0.2">
      <c r="A235">
        <v>198</v>
      </c>
      <c r="B235" s="61">
        <v>0.9316706370967891</v>
      </c>
      <c r="C235" s="60">
        <v>6295.4805049022671</v>
      </c>
      <c r="D235" s="60">
        <v>6757.1953587802554</v>
      </c>
    </row>
    <row r="236" spans="1:4" x14ac:dyDescent="0.2">
      <c r="A236">
        <v>199</v>
      </c>
      <c r="B236" s="61">
        <v>0.78556778124045579</v>
      </c>
      <c r="C236" s="60">
        <v>4223.8446648307017</v>
      </c>
      <c r="D236" s="60">
        <v>5376.8048610153191</v>
      </c>
    </row>
    <row r="237" spans="1:4" x14ac:dyDescent="0.2">
      <c r="A237">
        <v>200</v>
      </c>
      <c r="B237" s="61">
        <v>0.76003744631302439</v>
      </c>
      <c r="C237" s="60">
        <v>8515.4854852185399</v>
      </c>
      <c r="D237" s="60">
        <v>11204.034125591495</v>
      </c>
    </row>
    <row r="238" spans="1:4" x14ac:dyDescent="0.2">
      <c r="A238">
        <v>201</v>
      </c>
      <c r="B238" s="61">
        <v>0.7738583591960122</v>
      </c>
      <c r="C238" s="60">
        <v>8236.7200764859608</v>
      </c>
      <c r="D238" s="60">
        <v>10643.704986327692</v>
      </c>
    </row>
    <row r="239" spans="1:4" x14ac:dyDescent="0.2">
      <c r="A239">
        <v>202</v>
      </c>
      <c r="B239" s="61">
        <v>0.96072400938043234</v>
      </c>
      <c r="C239" s="60">
        <v>6850.975206473533</v>
      </c>
      <c r="D239" s="60">
        <v>7131.0544335117675</v>
      </c>
    </row>
    <row r="240" spans="1:4" x14ac:dyDescent="0.2">
      <c r="A240">
        <v>203</v>
      </c>
      <c r="B240" s="61">
        <v>0.98031406694150025</v>
      </c>
      <c r="C240" s="60">
        <v>8959.5255929413252</v>
      </c>
      <c r="D240" s="60">
        <v>9139.4440772377293</v>
      </c>
    </row>
    <row r="241" spans="1:4" x14ac:dyDescent="0.2">
      <c r="A241">
        <v>204</v>
      </c>
      <c r="B241" s="61">
        <v>0.82281021581216685</v>
      </c>
      <c r="C241" s="60">
        <v>6665.1149332093601</v>
      </c>
      <c r="D241" s="60">
        <v>8100.4280271732659</v>
      </c>
    </row>
    <row r="242" spans="1:4" x14ac:dyDescent="0.2">
      <c r="A242">
        <v>205</v>
      </c>
      <c r="B242" s="61">
        <v>0.97201380968615325</v>
      </c>
      <c r="C242" s="60">
        <v>6822.9610745581958</v>
      </c>
      <c r="D242" s="60">
        <v>7019.4075501470643</v>
      </c>
    </row>
    <row r="243" spans="1:4" x14ac:dyDescent="0.2">
      <c r="A243">
        <v>206</v>
      </c>
      <c r="B243" s="61">
        <v>0.80233667756370863</v>
      </c>
      <c r="C243" s="60">
        <v>7448.4532839877138</v>
      </c>
      <c r="D243" s="60">
        <v>9283.4510652123063</v>
      </c>
    </row>
    <row r="244" spans="1:4" x14ac:dyDescent="0.2">
      <c r="A244">
        <v>207</v>
      </c>
      <c r="B244" s="61">
        <v>0.93398864936420534</v>
      </c>
      <c r="C244" s="60">
        <v>6342.1583393204583</v>
      </c>
      <c r="D244" s="60">
        <v>6790.4019429334176</v>
      </c>
    </row>
    <row r="245" spans="1:4" x14ac:dyDescent="0.2">
      <c r="A245">
        <v>208</v>
      </c>
      <c r="B245" s="61">
        <v>0.79713794884613343</v>
      </c>
      <c r="C245" s="60">
        <v>6087.688690160373</v>
      </c>
      <c r="D245" s="60">
        <v>7636.9324769600717</v>
      </c>
    </row>
    <row r="246" spans="1:4" x14ac:dyDescent="0.2">
      <c r="A246">
        <v>209</v>
      </c>
      <c r="B246" s="61">
        <v>1.0803226144815081</v>
      </c>
      <c r="C246" s="60">
        <v>7100.0470700981959</v>
      </c>
      <c r="D246" s="60">
        <v>6572.1544425003121</v>
      </c>
    </row>
    <row r="247" spans="1:4" x14ac:dyDescent="0.2">
      <c r="A247">
        <v>210</v>
      </c>
      <c r="B247" s="61">
        <v>0.97124224668363723</v>
      </c>
      <c r="C247" s="60">
        <v>6639.5284672399775</v>
      </c>
      <c r="D247" s="60">
        <v>6836.1199174675849</v>
      </c>
    </row>
    <row r="248" spans="1:4" x14ac:dyDescent="0.2">
      <c r="A248">
        <v>211</v>
      </c>
      <c r="B248" s="61">
        <v>0.84302893072226404</v>
      </c>
      <c r="C248" s="60">
        <v>7999.6691197064993</v>
      </c>
      <c r="D248" s="60">
        <v>9489.1988022911537</v>
      </c>
    </row>
    <row r="249" spans="1:4" x14ac:dyDescent="0.2">
      <c r="A249">
        <v>212</v>
      </c>
      <c r="B249" s="61">
        <v>0.86487096670507491</v>
      </c>
      <c r="C249" s="60">
        <v>7546.2745720567837</v>
      </c>
      <c r="D249" s="60">
        <v>8725.3184146139793</v>
      </c>
    </row>
    <row r="250" spans="1:4" x14ac:dyDescent="0.2">
      <c r="A250">
        <v>213</v>
      </c>
      <c r="B250" s="61">
        <v>0.95495914696016015</v>
      </c>
      <c r="C250" s="60">
        <v>6601.2006319222965</v>
      </c>
      <c r="D250" s="60">
        <v>6912.5476759244984</v>
      </c>
    </row>
    <row r="251" spans="1:4" x14ac:dyDescent="0.2">
      <c r="A251">
        <v>214</v>
      </c>
      <c r="B251" s="61">
        <v>0.60795542708144445</v>
      </c>
      <c r="C251" s="60">
        <v>9661.2892085638814</v>
      </c>
      <c r="D251" s="60">
        <v>15891.443316731198</v>
      </c>
    </row>
    <row r="252" spans="1:4" x14ac:dyDescent="0.2">
      <c r="A252">
        <v>215</v>
      </c>
      <c r="B252" s="61">
        <v>0.96185078632350063</v>
      </c>
      <c r="C252" s="60">
        <v>6898.3688225019005</v>
      </c>
      <c r="D252" s="60">
        <v>7171.9739907576086</v>
      </c>
    </row>
    <row r="253" spans="1:4" x14ac:dyDescent="0.2">
      <c r="A253">
        <v>216</v>
      </c>
      <c r="B253" s="61">
        <v>0.98888875736872173</v>
      </c>
      <c r="C253" s="60">
        <v>5693.768233343324</v>
      </c>
      <c r="D253" s="60">
        <v>5757.7439230814498</v>
      </c>
    </row>
    <row r="254" spans="1:4" x14ac:dyDescent="0.2">
      <c r="A254">
        <v>217</v>
      </c>
      <c r="B254" s="61">
        <v>0.81250412120165638</v>
      </c>
      <c r="C254" s="60">
        <v>8938.5696380504887</v>
      </c>
      <c r="D254" s="60">
        <v>11001.26067647602</v>
      </c>
    </row>
    <row r="255" spans="1:4" x14ac:dyDescent="0.2">
      <c r="A255">
        <v>218</v>
      </c>
      <c r="B255" s="61">
        <v>0.79552785497351231</v>
      </c>
      <c r="C255" s="60">
        <v>8051.2564782843256</v>
      </c>
      <c r="D255" s="60">
        <v>10120.646848440521</v>
      </c>
    </row>
    <row r="256" spans="1:4" x14ac:dyDescent="0.2">
      <c r="A256">
        <v>219</v>
      </c>
      <c r="B256" s="61">
        <v>0.94737937627670998</v>
      </c>
      <c r="C256" s="60">
        <v>7257.7055543798087</v>
      </c>
      <c r="D256" s="60">
        <v>7660.8228299240309</v>
      </c>
    </row>
    <row r="257" spans="1:4" x14ac:dyDescent="0.2">
      <c r="A257">
        <v>220</v>
      </c>
      <c r="B257" s="61">
        <v>0.92055791649100449</v>
      </c>
      <c r="C257" s="60">
        <v>6153.6367443138297</v>
      </c>
      <c r="D257" s="60">
        <v>6684.6817935913778</v>
      </c>
    </row>
    <row r="258" spans="1:4" x14ac:dyDescent="0.2">
      <c r="A258">
        <v>221</v>
      </c>
      <c r="B258" s="61">
        <v>0.85317993092052102</v>
      </c>
      <c r="C258" s="60">
        <v>5626.7440897507367</v>
      </c>
      <c r="D258" s="60">
        <v>6595.0263078502985</v>
      </c>
    </row>
    <row r="259" spans="1:4" x14ac:dyDescent="0.2">
      <c r="A259">
        <v>222</v>
      </c>
      <c r="B259" s="61">
        <v>0.76784275555901793</v>
      </c>
      <c r="C259" s="60">
        <v>7216.7251368457364</v>
      </c>
      <c r="D259" s="60">
        <v>9398.7018625860364</v>
      </c>
    </row>
    <row r="260" spans="1:4" x14ac:dyDescent="0.2">
      <c r="A260">
        <v>223</v>
      </c>
      <c r="B260" s="62">
        <v>0.94215132053916051</v>
      </c>
      <c r="C260" s="63">
        <v>6992.3799496790853</v>
      </c>
      <c r="D260" s="63">
        <v>7421.7164453769365</v>
      </c>
    </row>
    <row r="261" spans="1:4" x14ac:dyDescent="0.2">
      <c r="A261">
        <v>224</v>
      </c>
      <c r="B261" s="61">
        <v>0.8121353239886453</v>
      </c>
      <c r="C261" s="60">
        <v>6110.5225957731072</v>
      </c>
      <c r="D261" s="60">
        <v>7524.0202159443816</v>
      </c>
    </row>
    <row r="262" spans="1:4" x14ac:dyDescent="0.2">
      <c r="A262">
        <v>225</v>
      </c>
      <c r="B262" s="61">
        <v>1.0110116655749142</v>
      </c>
      <c r="C262" s="60">
        <v>6820.5927175319357</v>
      </c>
      <c r="D262" s="60">
        <v>6746.3046666760165</v>
      </c>
    </row>
    <row r="263" spans="1:4" x14ac:dyDescent="0.2">
      <c r="A263">
        <v>226</v>
      </c>
      <c r="B263" s="61">
        <v>1.0797190605325779</v>
      </c>
      <c r="C263" s="60">
        <v>5714.2496873744076</v>
      </c>
      <c r="D263" s="60">
        <v>5292.3486268324459</v>
      </c>
    </row>
    <row r="264" spans="1:4" x14ac:dyDescent="0.2">
      <c r="A264">
        <v>227</v>
      </c>
      <c r="B264" s="61">
        <v>0.66922638727129247</v>
      </c>
      <c r="C264" s="60">
        <v>8331.3540744934544</v>
      </c>
      <c r="D264" s="60">
        <v>12449.231281007562</v>
      </c>
    </row>
    <row r="265" spans="1:4" x14ac:dyDescent="0.2">
      <c r="A265">
        <v>228</v>
      </c>
      <c r="B265" s="61">
        <v>0.75724107392941953</v>
      </c>
      <c r="C265" s="60">
        <v>6649.1312919031143</v>
      </c>
      <c r="D265" s="60">
        <v>8780.7324784958273</v>
      </c>
    </row>
    <row r="266" spans="1:4" x14ac:dyDescent="0.2">
      <c r="A266">
        <v>229</v>
      </c>
      <c r="B266" s="61">
        <v>0.75945557728088797</v>
      </c>
      <c r="C266" s="60">
        <v>5836.5771219502585</v>
      </c>
      <c r="D266" s="60">
        <v>7685.2120078533244</v>
      </c>
    </row>
    <row r="267" spans="1:4" x14ac:dyDescent="0.2">
      <c r="A267">
        <v>230</v>
      </c>
      <c r="B267" s="61">
        <v>0.7790401723654945</v>
      </c>
      <c r="C267" s="60">
        <v>7933.9411626588881</v>
      </c>
      <c r="D267" s="60">
        <v>10184.251652348166</v>
      </c>
    </row>
    <row r="268" spans="1:4" x14ac:dyDescent="0.2">
      <c r="A268">
        <v>231</v>
      </c>
      <c r="B268" s="61">
        <v>1.0749270863727443</v>
      </c>
      <c r="C268" s="60">
        <v>5900.9349001052797</v>
      </c>
      <c r="D268" s="60">
        <v>5489.6141095648763</v>
      </c>
    </row>
    <row r="269" spans="1:4" x14ac:dyDescent="0.2">
      <c r="A269">
        <v>232</v>
      </c>
      <c r="B269" s="61">
        <v>1.1686390275778136</v>
      </c>
      <c r="C269" s="60">
        <v>6669.7029944106926</v>
      </c>
      <c r="D269" s="60">
        <v>5707.2396497271629</v>
      </c>
    </row>
    <row r="270" spans="1:4" x14ac:dyDescent="0.2">
      <c r="A270">
        <v>233</v>
      </c>
      <c r="B270" s="61">
        <v>0.88401619235410234</v>
      </c>
      <c r="C270" s="60">
        <v>5770.5542535738987</v>
      </c>
      <c r="D270" s="60">
        <v>6527.6567369282302</v>
      </c>
    </row>
    <row r="271" spans="1:4" x14ac:dyDescent="0.2">
      <c r="A271">
        <v>234</v>
      </c>
      <c r="B271" s="61">
        <v>0.82941448414710095</v>
      </c>
      <c r="C271" s="60">
        <v>5646.3019589277756</v>
      </c>
      <c r="D271" s="60">
        <v>6807.5757861088605</v>
      </c>
    </row>
    <row r="272" spans="1:4" x14ac:dyDescent="0.2">
      <c r="A272">
        <v>235</v>
      </c>
      <c r="B272" s="61">
        <v>0.83591114376920217</v>
      </c>
      <c r="C272" s="60">
        <v>5367.6737061498934</v>
      </c>
      <c r="D272" s="60">
        <v>6421.3448357041234</v>
      </c>
    </row>
    <row r="273" spans="1:4" x14ac:dyDescent="0.2">
      <c r="A273">
        <v>236</v>
      </c>
      <c r="B273" s="61">
        <v>0.73900317096125079</v>
      </c>
      <c r="C273" s="60">
        <v>6983.0354174009972</v>
      </c>
      <c r="D273" s="60">
        <v>9449.2631314665214</v>
      </c>
    </row>
    <row r="274" spans="1:4" x14ac:dyDescent="0.2">
      <c r="A274">
        <v>237</v>
      </c>
      <c r="B274" s="61">
        <v>0.76783341171284558</v>
      </c>
      <c r="C274" s="60">
        <v>6499.0095178032807</v>
      </c>
      <c r="D274" s="60">
        <v>8464.0879371289739</v>
      </c>
    </row>
    <row r="275" spans="1:4" x14ac:dyDescent="0.2">
      <c r="A275">
        <v>238</v>
      </c>
      <c r="B275" s="61">
        <v>0.67405739180529967</v>
      </c>
      <c r="C275" s="60">
        <v>8148.0429094143255</v>
      </c>
      <c r="D275" s="60">
        <v>12088.055124789544</v>
      </c>
    </row>
    <row r="276" spans="1:4" x14ac:dyDescent="0.2">
      <c r="A276">
        <v>239</v>
      </c>
      <c r="B276" s="61">
        <v>0.6597306541521144</v>
      </c>
      <c r="C276" s="60">
        <v>6879.2606984745416</v>
      </c>
      <c r="D276" s="60">
        <v>10427.37768084426</v>
      </c>
    </row>
    <row r="277" spans="1:4" x14ac:dyDescent="0.2">
      <c r="A277">
        <v>240</v>
      </c>
      <c r="B277" s="61">
        <v>0.86958346781072215</v>
      </c>
      <c r="C277" s="60">
        <v>7344.2229434717792</v>
      </c>
      <c r="D277" s="60">
        <v>8445.6791272282553</v>
      </c>
    </row>
    <row r="278" spans="1:4" x14ac:dyDescent="0.2">
      <c r="A278">
        <v>241</v>
      </c>
      <c r="B278" s="61">
        <v>0.68402872549954985</v>
      </c>
      <c r="C278" s="60">
        <v>4064.8702070521358</v>
      </c>
      <c r="D278" s="60">
        <v>5942.54313528067</v>
      </c>
    </row>
    <row r="279" spans="1:4" x14ac:dyDescent="0.2">
      <c r="A279">
        <v>242</v>
      </c>
      <c r="B279" s="61">
        <v>0.69022938195702821</v>
      </c>
      <c r="C279" s="60">
        <v>8385.4361239041755</v>
      </c>
      <c r="D279" s="60">
        <v>12148.767269409331</v>
      </c>
    </row>
    <row r="280" spans="1:4" x14ac:dyDescent="0.2">
      <c r="A280">
        <v>243</v>
      </c>
      <c r="B280" s="61">
        <v>1.0877424925176982</v>
      </c>
      <c r="C280" s="60">
        <v>11273.192174058031</v>
      </c>
      <c r="D280" s="60">
        <v>10363.842776763278</v>
      </c>
    </row>
    <row r="281" spans="1:4" x14ac:dyDescent="0.2">
      <c r="A281">
        <v>244</v>
      </c>
      <c r="B281" s="61">
        <v>0.92197418097202455</v>
      </c>
      <c r="C281" s="60">
        <v>7159.2643579959768</v>
      </c>
      <c r="D281" s="60">
        <v>7765.1462543648067</v>
      </c>
    </row>
    <row r="282" spans="1:4" x14ac:dyDescent="0.2">
      <c r="A282">
        <v>245</v>
      </c>
      <c r="B282" s="61">
        <v>0.93011633491044687</v>
      </c>
      <c r="C282" s="60">
        <v>8349.4362251802977</v>
      </c>
      <c r="D282" s="60">
        <v>8976.7654988923459</v>
      </c>
    </row>
    <row r="283" spans="1:4" x14ac:dyDescent="0.2">
      <c r="A283">
        <v>246</v>
      </c>
      <c r="B283" s="61">
        <v>0.57730394072887137</v>
      </c>
      <c r="C283" s="60">
        <v>7764.8639333673418</v>
      </c>
      <c r="D283" s="60">
        <v>13450.218135639025</v>
      </c>
    </row>
    <row r="284" spans="1:4" x14ac:dyDescent="0.2">
      <c r="A284">
        <v>247</v>
      </c>
      <c r="B284" s="61">
        <v>0.98365682673507138</v>
      </c>
      <c r="C284" s="60">
        <v>7965.2232577889699</v>
      </c>
      <c r="D284" s="60">
        <v>8097.5631351300999</v>
      </c>
    </row>
    <row r="285" spans="1:4" x14ac:dyDescent="0.2">
      <c r="A285">
        <v>248</v>
      </c>
      <c r="B285" s="61">
        <v>1.1264974615684071</v>
      </c>
      <c r="C285" s="60">
        <v>5426.5005563826453</v>
      </c>
      <c r="D285" s="60">
        <v>4817.1440606953538</v>
      </c>
    </row>
    <row r="286" spans="1:4" x14ac:dyDescent="0.2">
      <c r="A286">
        <v>249</v>
      </c>
      <c r="B286" s="61">
        <v>0.7577208711933352</v>
      </c>
      <c r="C286" s="60">
        <v>8088.3979287998773</v>
      </c>
      <c r="D286" s="60">
        <v>10674.64053888532</v>
      </c>
    </row>
    <row r="287" spans="1:4" x14ac:dyDescent="0.2">
      <c r="A287">
        <v>250</v>
      </c>
      <c r="B287" s="61">
        <v>1.0361334917283669</v>
      </c>
      <c r="C287" s="60">
        <v>4977.8045395815825</v>
      </c>
      <c r="D287" s="60">
        <v>4804.2115994900832</v>
      </c>
    </row>
    <row r="288" spans="1:4" x14ac:dyDescent="0.2">
      <c r="A288">
        <v>251</v>
      </c>
      <c r="B288" s="61">
        <v>0.74335260232905398</v>
      </c>
      <c r="C288" s="60">
        <v>6576.4773780761043</v>
      </c>
      <c r="D288" s="60">
        <v>8847.0496470596154</v>
      </c>
    </row>
    <row r="289" spans="1:4" x14ac:dyDescent="0.2">
      <c r="A289">
        <v>252</v>
      </c>
      <c r="B289" s="61">
        <v>1.1605470488426732</v>
      </c>
      <c r="C289" s="60">
        <v>5876.0310601018191</v>
      </c>
      <c r="D289" s="60">
        <v>5063.1562640752436</v>
      </c>
    </row>
    <row r="290" spans="1:4" x14ac:dyDescent="0.2">
      <c r="A290">
        <v>253</v>
      </c>
      <c r="B290" s="61">
        <v>0.70657667314771899</v>
      </c>
      <c r="C290" s="60">
        <v>6727.8192683819689</v>
      </c>
      <c r="D290" s="60">
        <v>9521.7115481753681</v>
      </c>
    </row>
    <row r="291" spans="1:4" x14ac:dyDescent="0.2">
      <c r="A291">
        <v>254</v>
      </c>
      <c r="B291" s="61">
        <v>0.6562744887754679</v>
      </c>
      <c r="C291" s="60">
        <v>7667.5853067642529</v>
      </c>
      <c r="D291" s="60">
        <v>11683.503530772738</v>
      </c>
    </row>
    <row r="292" spans="1:4" x14ac:dyDescent="0.2">
      <c r="A292">
        <v>255</v>
      </c>
      <c r="B292" s="61">
        <v>0.84693785454703452</v>
      </c>
      <c r="C292" s="60">
        <v>8127.1181967037646</v>
      </c>
      <c r="D292" s="60">
        <v>9595.8849319001911</v>
      </c>
    </row>
    <row r="293" spans="1:4" x14ac:dyDescent="0.2">
      <c r="A293">
        <v>256</v>
      </c>
      <c r="B293" s="61">
        <v>0.90360454334898854</v>
      </c>
      <c r="C293" s="60">
        <v>5827.0659761977495</v>
      </c>
      <c r="D293" s="60">
        <v>6448.690435531852</v>
      </c>
    </row>
    <row r="294" spans="1:4" x14ac:dyDescent="0.2">
      <c r="A294">
        <v>257</v>
      </c>
      <c r="B294" s="61">
        <v>0.70374884300753493</v>
      </c>
      <c r="C294" s="60">
        <v>5864.1357022073535</v>
      </c>
      <c r="D294" s="60">
        <v>8332.7109670922291</v>
      </c>
    </row>
    <row r="295" spans="1:4" x14ac:dyDescent="0.2">
      <c r="A295">
        <v>258</v>
      </c>
      <c r="B295" s="61">
        <v>0.75173101115805707</v>
      </c>
      <c r="C295" s="60">
        <v>9012.0529335016709</v>
      </c>
      <c r="D295" s="60">
        <v>11988.401169746101</v>
      </c>
    </row>
    <row r="296" spans="1:4" x14ac:dyDescent="0.2">
      <c r="A296">
        <v>259</v>
      </c>
      <c r="B296" s="61">
        <v>0.88336243051708685</v>
      </c>
      <c r="C296" s="60">
        <v>6443.2521660852453</v>
      </c>
      <c r="D296" s="60">
        <v>7294.0074690674928</v>
      </c>
    </row>
    <row r="297" spans="1:4" x14ac:dyDescent="0.2">
      <c r="A297">
        <v>260</v>
      </c>
      <c r="B297" s="61">
        <v>0.99199121338942753</v>
      </c>
      <c r="C297" s="60">
        <v>5329.3925940482841</v>
      </c>
      <c r="D297" s="60">
        <v>5372.4191526242039</v>
      </c>
    </row>
    <row r="298" spans="1:4" x14ac:dyDescent="0.2">
      <c r="A298">
        <v>261</v>
      </c>
      <c r="B298" s="61">
        <v>0.81664686579984203</v>
      </c>
      <c r="C298" s="60">
        <v>5959.0119964296209</v>
      </c>
      <c r="D298" s="60">
        <v>7296.926304361963</v>
      </c>
    </row>
    <row r="299" spans="1:4" x14ac:dyDescent="0.2">
      <c r="A299">
        <v>262</v>
      </c>
      <c r="B299" s="61">
        <v>0.90317477243723054</v>
      </c>
      <c r="C299" s="60">
        <v>7231.6533313606651</v>
      </c>
      <c r="D299" s="60">
        <v>8006.925738022931</v>
      </c>
    </row>
    <row r="300" spans="1:4" x14ac:dyDescent="0.2">
      <c r="A300">
        <v>263</v>
      </c>
      <c r="B300" s="61">
        <v>0.97604462797248104</v>
      </c>
      <c r="C300" s="60">
        <v>6959.2544215568942</v>
      </c>
      <c r="D300" s="60">
        <v>7130.0576040392962</v>
      </c>
    </row>
    <row r="301" spans="1:4" x14ac:dyDescent="0.2">
      <c r="A301">
        <v>264</v>
      </c>
      <c r="B301" s="61">
        <v>0.81856540142098844</v>
      </c>
      <c r="C301" s="60">
        <v>7138.5410873363835</v>
      </c>
      <c r="D301" s="60">
        <v>8720.7950335357873</v>
      </c>
    </row>
    <row r="302" spans="1:4" x14ac:dyDescent="0.2">
      <c r="A302">
        <v>265</v>
      </c>
      <c r="B302" s="61">
        <v>0.95262409569031803</v>
      </c>
      <c r="C302" s="60">
        <v>7220.726862656742</v>
      </c>
      <c r="D302" s="60">
        <v>7579.8280720836165</v>
      </c>
    </row>
    <row r="303" spans="1:4" x14ac:dyDescent="0.2">
      <c r="A303">
        <v>266</v>
      </c>
      <c r="B303" s="61">
        <v>0.66451936389556909</v>
      </c>
      <c r="C303" s="60">
        <v>8532.674055516989</v>
      </c>
      <c r="D303" s="60">
        <v>12840.369324223215</v>
      </c>
    </row>
    <row r="304" spans="1:4" x14ac:dyDescent="0.2">
      <c r="A304">
        <v>267</v>
      </c>
      <c r="B304" s="61">
        <v>0.78907386181053152</v>
      </c>
      <c r="C304" s="60">
        <v>5631.8768645346809</v>
      </c>
      <c r="D304" s="60">
        <v>7137.3253343005535</v>
      </c>
    </row>
    <row r="305" spans="1:4" x14ac:dyDescent="0.2">
      <c r="A305">
        <v>268</v>
      </c>
      <c r="B305" s="61">
        <v>0.8078355018401755</v>
      </c>
      <c r="C305" s="60">
        <v>9920.2390928202494</v>
      </c>
      <c r="D305" s="60">
        <v>12280.02368083954</v>
      </c>
    </row>
    <row r="306" spans="1:4" x14ac:dyDescent="0.2">
      <c r="A306">
        <v>269</v>
      </c>
      <c r="B306" s="61">
        <v>0.84595581279536347</v>
      </c>
      <c r="C306" s="60">
        <v>9082.4019227674744</v>
      </c>
      <c r="D306" s="60">
        <v>10736.260435111526</v>
      </c>
    </row>
    <row r="307" spans="1:4" x14ac:dyDescent="0.2">
      <c r="A307">
        <v>270</v>
      </c>
      <c r="B307" s="61">
        <v>0.88777979631368975</v>
      </c>
      <c r="C307" s="60">
        <v>6925.4483149160769</v>
      </c>
      <c r="D307" s="60">
        <v>7800.8627180664362</v>
      </c>
    </row>
    <row r="308" spans="1:4" x14ac:dyDescent="0.2">
      <c r="A308">
        <v>271</v>
      </c>
      <c r="B308" s="61">
        <v>0.93100073573238618</v>
      </c>
      <c r="C308" s="60">
        <v>5568.4157876242734</v>
      </c>
      <c r="D308" s="60">
        <v>5981.1078272068098</v>
      </c>
    </row>
    <row r="309" spans="1:4" x14ac:dyDescent="0.2">
      <c r="A309">
        <v>272</v>
      </c>
      <c r="B309" s="61">
        <v>1.1059786647100047</v>
      </c>
      <c r="C309" s="60">
        <v>7361.4536628295446</v>
      </c>
      <c r="D309" s="60">
        <v>6656.0539526861203</v>
      </c>
    </row>
    <row r="310" spans="1:4" x14ac:dyDescent="0.2">
      <c r="A310">
        <v>273</v>
      </c>
      <c r="B310" s="61">
        <v>1.0778825560122476</v>
      </c>
      <c r="C310" s="60">
        <v>8961.9654816796574</v>
      </c>
      <c r="D310" s="60">
        <v>8314.4174026115561</v>
      </c>
    </row>
    <row r="311" spans="1:4" x14ac:dyDescent="0.2">
      <c r="A311">
        <v>274</v>
      </c>
      <c r="B311" s="61">
        <v>0.81486177584269015</v>
      </c>
      <c r="C311" s="60">
        <v>5362.5409957747834</v>
      </c>
      <c r="D311" s="60">
        <v>6580.9210282677768</v>
      </c>
    </row>
    <row r="312" spans="1:4" x14ac:dyDescent="0.2">
      <c r="A312">
        <v>275</v>
      </c>
      <c r="B312" s="61">
        <v>0.64890280527823574</v>
      </c>
      <c r="C312" s="60">
        <v>5532.3598336748528</v>
      </c>
      <c r="D312" s="60">
        <v>8525.7141573038734</v>
      </c>
    </row>
    <row r="313" spans="1:4" x14ac:dyDescent="0.2">
      <c r="A313">
        <v>276</v>
      </c>
      <c r="B313" s="61">
        <v>0.82317057080059364</v>
      </c>
      <c r="C313" s="60">
        <v>6605.2289352823627</v>
      </c>
      <c r="D313" s="60">
        <v>8024.1315343165079</v>
      </c>
    </row>
    <row r="314" spans="1:4" x14ac:dyDescent="0.2">
      <c r="A314">
        <v>277</v>
      </c>
      <c r="B314" s="61">
        <v>0.69778929282357716</v>
      </c>
      <c r="C314" s="60">
        <v>7167.643221319544</v>
      </c>
      <c r="D314" s="60">
        <v>10271.93064587729</v>
      </c>
    </row>
    <row r="315" spans="1:4" x14ac:dyDescent="0.2">
      <c r="A315">
        <v>278</v>
      </c>
      <c r="B315" s="61">
        <v>0.98440882442965538</v>
      </c>
      <c r="C315" s="60">
        <v>6835.4620748829429</v>
      </c>
      <c r="D315" s="60">
        <v>6943.7228773759298</v>
      </c>
    </row>
    <row r="316" spans="1:4" x14ac:dyDescent="0.2">
      <c r="A316">
        <v>279</v>
      </c>
      <c r="B316" s="61">
        <v>0.95644707485283398</v>
      </c>
      <c r="C316" s="60">
        <v>7698.0324679191781</v>
      </c>
      <c r="D316" s="60">
        <v>8048.5712908930736</v>
      </c>
    </row>
    <row r="317" spans="1:4" x14ac:dyDescent="0.2">
      <c r="A317">
        <v>280</v>
      </c>
      <c r="B317" s="61">
        <v>1.0150273932400165</v>
      </c>
      <c r="C317" s="60">
        <v>6297.3831810245283</v>
      </c>
      <c r="D317" s="60">
        <v>6204.1509647567018</v>
      </c>
    </row>
    <row r="318" spans="1:4" x14ac:dyDescent="0.2">
      <c r="A318">
        <v>281</v>
      </c>
      <c r="B318" s="61">
        <v>0.926659209545039</v>
      </c>
      <c r="C318" s="60">
        <v>6114.4028305046622</v>
      </c>
      <c r="D318" s="60">
        <v>6598.3295342271995</v>
      </c>
    </row>
    <row r="319" spans="1:4" x14ac:dyDescent="0.2">
      <c r="A319">
        <v>282</v>
      </c>
      <c r="B319" s="61">
        <v>0.72470389669177049</v>
      </c>
      <c r="C319" s="60">
        <v>7314.6330136955185</v>
      </c>
      <c r="D319" s="60">
        <v>10093.271261664766</v>
      </c>
    </row>
    <row r="320" spans="1:4" x14ac:dyDescent="0.2">
      <c r="A320">
        <v>283</v>
      </c>
      <c r="B320" s="61">
        <v>0.75623105955779213</v>
      </c>
      <c r="C320" s="60">
        <v>7262.4232681950089</v>
      </c>
      <c r="D320" s="60">
        <v>9603.4448419002092</v>
      </c>
    </row>
    <row r="321" spans="1:4" x14ac:dyDescent="0.2">
      <c r="A321">
        <v>284</v>
      </c>
      <c r="B321" s="62">
        <v>0.80333843965623153</v>
      </c>
      <c r="C321" s="63">
        <v>7270.2740204641195</v>
      </c>
      <c r="D321" s="63">
        <v>9050.0761093608944</v>
      </c>
    </row>
    <row r="322" spans="1:4" x14ac:dyDescent="0.2">
      <c r="A322">
        <v>285</v>
      </c>
      <c r="B322" s="61">
        <v>0.54051176976341875</v>
      </c>
      <c r="C322" s="60">
        <v>5876.4999621629795</v>
      </c>
      <c r="D322" s="60">
        <v>10872.103607910547</v>
      </c>
    </row>
    <row r="323" spans="1:4" x14ac:dyDescent="0.2">
      <c r="A323">
        <v>286</v>
      </c>
      <c r="B323" s="61">
        <v>0.87516493701144782</v>
      </c>
      <c r="C323" s="60">
        <v>7229.3218922241558</v>
      </c>
      <c r="D323" s="60">
        <v>8260.5250581806504</v>
      </c>
    </row>
    <row r="324" spans="1:4" x14ac:dyDescent="0.2">
      <c r="A324">
        <v>287</v>
      </c>
      <c r="B324" s="61">
        <v>0.90831742432363693</v>
      </c>
      <c r="C324" s="60">
        <v>7069.9338136756105</v>
      </c>
      <c r="D324" s="60">
        <v>7783.5496978824513</v>
      </c>
    </row>
    <row r="325" spans="1:4" x14ac:dyDescent="0.2">
      <c r="A325">
        <v>288</v>
      </c>
      <c r="B325" s="61">
        <v>1.0326364148966549</v>
      </c>
      <c r="C325" s="60">
        <v>7045.76114191946</v>
      </c>
      <c r="D325" s="60">
        <v>6823.0802635645887</v>
      </c>
    </row>
    <row r="326" spans="1:4" x14ac:dyDescent="0.2">
      <c r="A326">
        <v>289</v>
      </c>
      <c r="B326" s="61">
        <v>0.84245905895701512</v>
      </c>
      <c r="C326" s="60">
        <v>7416.2636440162005</v>
      </c>
      <c r="D326" s="60">
        <v>8803.1146026226088</v>
      </c>
    </row>
    <row r="327" spans="1:4" x14ac:dyDescent="0.2">
      <c r="A327">
        <v>290</v>
      </c>
      <c r="B327" s="61">
        <v>0.81943162104744438</v>
      </c>
      <c r="C327" s="60">
        <v>5762.6886149025941</v>
      </c>
      <c r="D327" s="60">
        <v>7032.543615459208</v>
      </c>
    </row>
    <row r="328" spans="1:4" x14ac:dyDescent="0.2">
      <c r="A328">
        <v>291</v>
      </c>
      <c r="B328" s="61">
        <v>1.2609997715225809</v>
      </c>
      <c r="C328" s="60">
        <v>7479.678304074414</v>
      </c>
      <c r="D328" s="60">
        <v>5931.5461215692012</v>
      </c>
    </row>
    <row r="329" spans="1:4" x14ac:dyDescent="0.2">
      <c r="A329">
        <v>292</v>
      </c>
      <c r="B329" s="61">
        <v>0.72950261633001645</v>
      </c>
      <c r="C329" s="60">
        <v>7922.3209295868219</v>
      </c>
      <c r="D329" s="60">
        <v>10859.893785497923</v>
      </c>
    </row>
    <row r="330" spans="1:4" x14ac:dyDescent="0.2">
      <c r="A330">
        <v>293</v>
      </c>
      <c r="B330" s="61">
        <v>0.80525980972875466</v>
      </c>
      <c r="C330" s="60">
        <v>5619.4442307645368</v>
      </c>
      <c r="D330" s="60">
        <v>6978.4238116359011</v>
      </c>
    </row>
    <row r="331" spans="1:4" x14ac:dyDescent="0.2">
      <c r="A331">
        <v>294</v>
      </c>
      <c r="B331" s="61">
        <v>0.67791975464995868</v>
      </c>
      <c r="C331" s="60">
        <v>8582.5900403842097</v>
      </c>
      <c r="D331" s="60">
        <v>12660.185783811239</v>
      </c>
    </row>
    <row r="332" spans="1:4" x14ac:dyDescent="0.2">
      <c r="A332">
        <v>295</v>
      </c>
      <c r="B332" s="61">
        <v>0.91768483257317168</v>
      </c>
      <c r="C332" s="60">
        <v>6081.5197890792952</v>
      </c>
      <c r="D332" s="60">
        <v>6627.0244131929512</v>
      </c>
    </row>
    <row r="333" spans="1:4" x14ac:dyDescent="0.2">
      <c r="A333">
        <v>296</v>
      </c>
      <c r="B333" s="61">
        <v>0.89728557430938594</v>
      </c>
      <c r="C333" s="60">
        <v>7394.7919006400207</v>
      </c>
      <c r="D333" s="60">
        <v>8241.2914153128695</v>
      </c>
    </row>
    <row r="334" spans="1:4" x14ac:dyDescent="0.2">
      <c r="A334">
        <v>297</v>
      </c>
      <c r="B334" s="61">
        <v>0.8073856578965799</v>
      </c>
      <c r="C334" s="60">
        <v>7356.9121603344902</v>
      </c>
      <c r="D334" s="60">
        <v>9112.017396371506</v>
      </c>
    </row>
    <row r="335" spans="1:4" x14ac:dyDescent="0.2">
      <c r="A335">
        <v>298</v>
      </c>
      <c r="B335" s="61">
        <v>0.68810394545699616</v>
      </c>
      <c r="C335" s="60">
        <v>8074.5602809164211</v>
      </c>
      <c r="D335" s="60">
        <v>11734.506587596728</v>
      </c>
    </row>
    <row r="336" spans="1:4" x14ac:dyDescent="0.2">
      <c r="A336">
        <v>299</v>
      </c>
      <c r="B336" s="61">
        <v>0.91861202193545033</v>
      </c>
      <c r="C336" s="60">
        <v>7092.7932709829074</v>
      </c>
      <c r="D336" s="60">
        <v>7721.2066700791647</v>
      </c>
    </row>
    <row r="337" spans="1:4" x14ac:dyDescent="0.2">
      <c r="A337">
        <v>300</v>
      </c>
      <c r="B337" s="61">
        <v>0.83956392413730541</v>
      </c>
      <c r="C337" s="60">
        <v>5688.0335045994016</v>
      </c>
      <c r="D337" s="60">
        <v>6774.9856098737746</v>
      </c>
    </row>
    <row r="338" spans="1:4" x14ac:dyDescent="0.2">
      <c r="A338">
        <v>301</v>
      </c>
      <c r="B338" s="61">
        <v>0.77629716692225692</v>
      </c>
      <c r="C338" s="60">
        <v>5230.1901401728155</v>
      </c>
      <c r="D338" s="60">
        <v>6737.3556970569216</v>
      </c>
    </row>
    <row r="339" spans="1:4" x14ac:dyDescent="0.2">
      <c r="A339">
        <v>302</v>
      </c>
      <c r="B339" s="61">
        <v>0.87692153929247674</v>
      </c>
      <c r="C339" s="60">
        <v>6672.6886626339165</v>
      </c>
      <c r="D339" s="60">
        <v>7609.2197119683206</v>
      </c>
    </row>
    <row r="340" spans="1:4" x14ac:dyDescent="0.2">
      <c r="A340">
        <v>303</v>
      </c>
      <c r="B340" s="61">
        <v>0.81183458361839733</v>
      </c>
      <c r="C340" s="60">
        <v>7007.5904423190441</v>
      </c>
      <c r="D340" s="60">
        <v>8631.7959147364436</v>
      </c>
    </row>
    <row r="341" spans="1:4" x14ac:dyDescent="0.2">
      <c r="A341">
        <v>304</v>
      </c>
      <c r="B341" s="61">
        <v>0.69159295420666567</v>
      </c>
      <c r="C341" s="60">
        <v>8570.4582456606313</v>
      </c>
      <c r="D341" s="60">
        <v>12392.34464945049</v>
      </c>
    </row>
    <row r="342" spans="1:4" x14ac:dyDescent="0.2">
      <c r="A342">
        <v>305</v>
      </c>
      <c r="B342" s="61">
        <v>0.76756366958124467</v>
      </c>
      <c r="C342" s="60">
        <v>7317.1085187611734</v>
      </c>
      <c r="D342" s="60">
        <v>9532.9010592087125</v>
      </c>
    </row>
    <row r="343" spans="1:4" x14ac:dyDescent="0.2">
      <c r="A343">
        <v>306</v>
      </c>
      <c r="B343" s="61">
        <v>0.72909653625644566</v>
      </c>
      <c r="C343" s="60">
        <v>7563.4457778716587</v>
      </c>
      <c r="D343" s="60">
        <v>10373.723370990427</v>
      </c>
    </row>
    <row r="344" spans="1:4" x14ac:dyDescent="0.2">
      <c r="A344">
        <v>307</v>
      </c>
      <c r="B344" s="61">
        <v>0.75759212369982798</v>
      </c>
      <c r="C344" s="60">
        <v>7816.2428886286225</v>
      </c>
      <c r="D344" s="60">
        <v>10317.217727207473</v>
      </c>
    </row>
    <row r="345" spans="1:4" x14ac:dyDescent="0.2">
      <c r="A345">
        <v>308</v>
      </c>
      <c r="B345" s="61">
        <v>0.71880420130004463</v>
      </c>
      <c r="C345" s="60">
        <v>7524.3328648928873</v>
      </c>
      <c r="D345" s="60">
        <v>10467.84764374529</v>
      </c>
    </row>
    <row r="346" spans="1:4" x14ac:dyDescent="0.2">
      <c r="A346">
        <v>309</v>
      </c>
      <c r="B346" s="61">
        <v>0.7301350230232071</v>
      </c>
      <c r="C346" s="60">
        <v>6579.6031550398729</v>
      </c>
      <c r="D346" s="60">
        <v>9011.4882145993743</v>
      </c>
    </row>
    <row r="347" spans="1:4" x14ac:dyDescent="0.2">
      <c r="A347">
        <v>310</v>
      </c>
      <c r="B347" s="61">
        <v>1.0378665127468825</v>
      </c>
      <c r="C347" s="60">
        <v>6262.3417595637993</v>
      </c>
      <c r="D347" s="60">
        <v>6033.8605038806909</v>
      </c>
    </row>
    <row r="348" spans="1:4" x14ac:dyDescent="0.2">
      <c r="A348">
        <v>311</v>
      </c>
      <c r="B348" s="61">
        <v>0.80508605460172333</v>
      </c>
      <c r="C348" s="60">
        <v>7777.4052844952021</v>
      </c>
      <c r="D348" s="60">
        <v>9660.3403326153621</v>
      </c>
    </row>
    <row r="349" spans="1:4" x14ac:dyDescent="0.2">
      <c r="A349">
        <v>312</v>
      </c>
      <c r="B349" s="61">
        <v>0.84589453265078518</v>
      </c>
      <c r="C349" s="60">
        <v>5690.2616232685832</v>
      </c>
      <c r="D349" s="60">
        <v>6726.9161859185606</v>
      </c>
    </row>
    <row r="350" spans="1:4" x14ac:dyDescent="0.2">
      <c r="A350">
        <v>313</v>
      </c>
      <c r="B350" s="61">
        <v>1.082454936434365</v>
      </c>
      <c r="C350" s="60">
        <v>6858.659924349553</v>
      </c>
      <c r="D350" s="60">
        <v>6336.2082738909749</v>
      </c>
    </row>
    <row r="351" spans="1:4" x14ac:dyDescent="0.2">
      <c r="A351">
        <v>314</v>
      </c>
      <c r="B351" s="61">
        <v>0.81285611690870141</v>
      </c>
      <c r="C351" s="60">
        <v>5480.4572713901853</v>
      </c>
      <c r="D351" s="60">
        <v>6742.2230790762942</v>
      </c>
    </row>
    <row r="352" spans="1:4" x14ac:dyDescent="0.2">
      <c r="A352">
        <v>315</v>
      </c>
      <c r="B352" s="61">
        <v>0.76195471285317229</v>
      </c>
      <c r="C352" s="60">
        <v>6109.7114658948794</v>
      </c>
      <c r="D352" s="60">
        <v>8018.4706030845346</v>
      </c>
    </row>
    <row r="353" spans="1:4" x14ac:dyDescent="0.2">
      <c r="A353">
        <v>316</v>
      </c>
      <c r="B353" s="61">
        <v>1.0939817994891641</v>
      </c>
      <c r="C353" s="60">
        <v>7914.608649305017</v>
      </c>
      <c r="D353" s="60">
        <v>7234.6803694547307</v>
      </c>
    </row>
    <row r="354" spans="1:4" x14ac:dyDescent="0.2">
      <c r="A354">
        <v>317</v>
      </c>
      <c r="B354" s="61">
        <v>0.74187757505656737</v>
      </c>
      <c r="C354" s="60">
        <v>6583.1103127805436</v>
      </c>
      <c r="D354" s="60">
        <v>8873.580404797367</v>
      </c>
    </row>
    <row r="355" spans="1:4" x14ac:dyDescent="0.2">
      <c r="A355">
        <v>318</v>
      </c>
      <c r="B355" s="61">
        <v>0.9862510215986644</v>
      </c>
      <c r="C355" s="60">
        <v>7929.4662453274304</v>
      </c>
      <c r="D355" s="60">
        <v>8040.0081436409118</v>
      </c>
    </row>
    <row r="356" spans="1:4" x14ac:dyDescent="0.2">
      <c r="A356">
        <v>319</v>
      </c>
      <c r="B356" s="61">
        <v>0.82897135046964721</v>
      </c>
      <c r="C356" s="60">
        <v>5847.7102788843467</v>
      </c>
      <c r="D356" s="60">
        <v>7054.1765714477015</v>
      </c>
    </row>
    <row r="357" spans="1:4" x14ac:dyDescent="0.2">
      <c r="A357">
        <v>320</v>
      </c>
      <c r="B357" s="61">
        <v>0.84248239297868643</v>
      </c>
      <c r="C357" s="60">
        <v>9406.7065503224367</v>
      </c>
      <c r="D357" s="60">
        <v>11165.46366869938</v>
      </c>
    </row>
    <row r="358" spans="1:4" x14ac:dyDescent="0.2">
      <c r="A358">
        <v>321</v>
      </c>
      <c r="B358" s="61">
        <v>0.90221352488820195</v>
      </c>
      <c r="C358" s="60">
        <v>6593.9889980229127</v>
      </c>
      <c r="D358" s="60">
        <v>7308.6789502961719</v>
      </c>
    </row>
    <row r="359" spans="1:4" x14ac:dyDescent="0.2">
      <c r="A359">
        <v>322</v>
      </c>
      <c r="B359" s="61">
        <v>1.0204576289501235</v>
      </c>
      <c r="C359" s="60">
        <v>5555.841639003509</v>
      </c>
      <c r="D359" s="60">
        <v>5444.4608785173377</v>
      </c>
    </row>
    <row r="360" spans="1:4" x14ac:dyDescent="0.2">
      <c r="A360">
        <v>323</v>
      </c>
      <c r="B360" s="61">
        <v>0.77142756043773009</v>
      </c>
      <c r="C360" s="60">
        <v>4819.7940834712354</v>
      </c>
      <c r="D360" s="60">
        <v>6247.8894074465607</v>
      </c>
    </row>
    <row r="361" spans="1:4" x14ac:dyDescent="0.2">
      <c r="A361">
        <v>324</v>
      </c>
      <c r="B361" s="61">
        <v>0.84187753052162329</v>
      </c>
      <c r="C361" s="60">
        <v>6576.4250578722931</v>
      </c>
      <c r="D361" s="60">
        <v>7811.6172714546401</v>
      </c>
    </row>
    <row r="362" spans="1:4" x14ac:dyDescent="0.2">
      <c r="A362">
        <v>325</v>
      </c>
      <c r="B362" s="61">
        <v>0.79282791298792521</v>
      </c>
      <c r="C362" s="60">
        <v>5988.2511949751697</v>
      </c>
      <c r="D362" s="60">
        <v>7553.0277086326187</v>
      </c>
    </row>
    <row r="363" spans="1:4" x14ac:dyDescent="0.2">
      <c r="A363">
        <v>326</v>
      </c>
      <c r="B363" s="62">
        <v>0.99157841015585024</v>
      </c>
      <c r="C363" s="63">
        <v>6504.4820604259166</v>
      </c>
      <c r="D363" s="63">
        <v>6559.7253770416219</v>
      </c>
    </row>
    <row r="364" spans="1:4" x14ac:dyDescent="0.2">
      <c r="A364">
        <v>327</v>
      </c>
      <c r="B364" s="61">
        <v>0.71580629987777478</v>
      </c>
      <c r="C364" s="60">
        <v>4569.8204913062646</v>
      </c>
      <c r="D364" s="60">
        <v>6384.1579657605271</v>
      </c>
    </row>
    <row r="365" spans="1:4" x14ac:dyDescent="0.2">
      <c r="A365">
        <v>328</v>
      </c>
      <c r="B365" s="61">
        <v>0.81825804551350512</v>
      </c>
      <c r="C365" s="60">
        <v>6842.0221093552173</v>
      </c>
      <c r="D365" s="60">
        <v>8361.6924353752547</v>
      </c>
    </row>
    <row r="366" spans="1:4" x14ac:dyDescent="0.2">
      <c r="A366">
        <v>329</v>
      </c>
      <c r="B366" s="61">
        <v>0.83830622971246349</v>
      </c>
      <c r="C366" s="60">
        <v>6527.3414805270586</v>
      </c>
      <c r="D366" s="60">
        <v>7786.3449526862241</v>
      </c>
    </row>
    <row r="367" spans="1:4" x14ac:dyDescent="0.2">
      <c r="A367">
        <v>330</v>
      </c>
      <c r="B367" s="62">
        <v>0.60459867053524174</v>
      </c>
      <c r="C367" s="63">
        <v>7990.1973345904225</v>
      </c>
      <c r="D367" s="63">
        <v>13215.704439966476</v>
      </c>
    </row>
    <row r="368" spans="1:4" x14ac:dyDescent="0.2">
      <c r="A368">
        <v>331</v>
      </c>
      <c r="B368" s="61">
        <v>0.8229880035408712</v>
      </c>
      <c r="C368" s="60">
        <v>5739.760325771038</v>
      </c>
      <c r="D368" s="60">
        <v>6974.2940371863997</v>
      </c>
    </row>
    <row r="369" spans="1:4" x14ac:dyDescent="0.2">
      <c r="A369">
        <v>332</v>
      </c>
      <c r="B369" s="61">
        <v>0.73949918783151602</v>
      </c>
      <c r="C369" s="60">
        <v>7115.9889622816117</v>
      </c>
      <c r="D369" s="60">
        <v>9622.713695126984</v>
      </c>
    </row>
    <row r="370" spans="1:4" x14ac:dyDescent="0.2">
      <c r="A370">
        <v>333</v>
      </c>
      <c r="B370" s="61">
        <v>0.81019891083134787</v>
      </c>
      <c r="C370" s="60">
        <v>7539.7568053597606</v>
      </c>
      <c r="D370" s="60">
        <v>9306.0564567078854</v>
      </c>
    </row>
    <row r="371" spans="1:4" x14ac:dyDescent="0.2">
      <c r="A371">
        <v>334</v>
      </c>
      <c r="B371" s="61">
        <v>1.0032753700481383</v>
      </c>
      <c r="C371" s="60">
        <v>6842.2925384879763</v>
      </c>
      <c r="D371" s="60">
        <v>6819.9546632542924</v>
      </c>
    </row>
    <row r="372" spans="1:4" x14ac:dyDescent="0.2">
      <c r="A372">
        <v>335</v>
      </c>
      <c r="B372" s="61">
        <v>0.74778200708563958</v>
      </c>
      <c r="C372" s="60">
        <v>6805.6873373771914</v>
      </c>
      <c r="D372" s="60">
        <v>9101.1648754444705</v>
      </c>
    </row>
    <row r="373" spans="1:4" x14ac:dyDescent="0.2">
      <c r="A373">
        <v>336</v>
      </c>
      <c r="B373" s="61">
        <v>1.1156746052748963</v>
      </c>
      <c r="C373" s="60">
        <v>8112.802563212239</v>
      </c>
      <c r="D373" s="60">
        <v>7271.656560842207</v>
      </c>
    </row>
    <row r="374" spans="1:4" x14ac:dyDescent="0.2">
      <c r="A374">
        <v>337</v>
      </c>
      <c r="B374" s="62">
        <v>0.89015286944841066</v>
      </c>
      <c r="C374" s="63">
        <v>5764.3051985956972</v>
      </c>
      <c r="D374" s="63">
        <v>6475.6351368811393</v>
      </c>
    </row>
    <row r="375" spans="1:4" x14ac:dyDescent="0.2">
      <c r="A375">
        <v>338</v>
      </c>
      <c r="B375" s="61">
        <v>0.90089872998298581</v>
      </c>
      <c r="C375" s="60">
        <v>5184.969244859607</v>
      </c>
      <c r="D375" s="60">
        <v>5755.3297305209089</v>
      </c>
    </row>
    <row r="376" spans="1:4" x14ac:dyDescent="0.2">
      <c r="A376">
        <v>339</v>
      </c>
      <c r="B376" s="61">
        <v>0.88060476403208199</v>
      </c>
      <c r="C376" s="60">
        <v>7120.1556160645068</v>
      </c>
      <c r="D376" s="60">
        <v>8085.5292940535428</v>
      </c>
    </row>
    <row r="377" spans="1:4" x14ac:dyDescent="0.2">
      <c r="A377">
        <v>340</v>
      </c>
      <c r="B377" s="61">
        <v>0.67640048414538434</v>
      </c>
      <c r="C377" s="60">
        <v>6539.3386799895743</v>
      </c>
      <c r="D377" s="60">
        <v>9667.8503834187377</v>
      </c>
    </row>
    <row r="378" spans="1:4" x14ac:dyDescent="0.2">
      <c r="A378">
        <v>341</v>
      </c>
      <c r="B378" s="62">
        <v>0.90478206392982408</v>
      </c>
      <c r="C378" s="63">
        <v>6504.8833703631135</v>
      </c>
      <c r="D378" s="63">
        <v>7189.447746244934</v>
      </c>
    </row>
    <row r="379" spans="1:4" x14ac:dyDescent="0.2">
      <c r="A379">
        <v>342</v>
      </c>
      <c r="B379" s="61">
        <v>1.083626098595972</v>
      </c>
      <c r="C379" s="60">
        <v>6740.3698005435235</v>
      </c>
      <c r="D379" s="60">
        <v>6220.1988391354334</v>
      </c>
    </row>
    <row r="380" spans="1:4" x14ac:dyDescent="0.2">
      <c r="A380">
        <v>343</v>
      </c>
      <c r="B380" s="61">
        <v>0.93808001706251165</v>
      </c>
      <c r="C380" s="60">
        <v>7762.3311759271764</v>
      </c>
      <c r="D380" s="60">
        <v>8274.7004890201297</v>
      </c>
    </row>
    <row r="381" spans="1:4" x14ac:dyDescent="0.2">
      <c r="A381">
        <v>344</v>
      </c>
      <c r="B381" s="61">
        <v>0.93464373126642375</v>
      </c>
      <c r="C381" s="60">
        <v>7255.5195864899688</v>
      </c>
      <c r="D381" s="60">
        <v>7762.8719305257455</v>
      </c>
    </row>
    <row r="382" spans="1:4" x14ac:dyDescent="0.2">
      <c r="A382">
        <v>345</v>
      </c>
      <c r="B382" s="61">
        <v>0.83877106529048007</v>
      </c>
      <c r="C382" s="60">
        <v>6670.3051900208175</v>
      </c>
      <c r="D382" s="60">
        <v>7952.4741208267387</v>
      </c>
    </row>
    <row r="383" spans="1:4" x14ac:dyDescent="0.2">
      <c r="A383">
        <v>346</v>
      </c>
      <c r="B383" s="61">
        <v>0.86684451670730311</v>
      </c>
      <c r="C383" s="60">
        <v>7458.2097910328666</v>
      </c>
      <c r="D383" s="60">
        <v>8603.8610699906985</v>
      </c>
    </row>
    <row r="384" spans="1:4" x14ac:dyDescent="0.2">
      <c r="A384">
        <v>347</v>
      </c>
      <c r="B384" s="62">
        <v>1.0981500960875064</v>
      </c>
      <c r="C384" s="63">
        <v>5257.6474511486831</v>
      </c>
      <c r="D384" s="63">
        <v>4787.7311761667652</v>
      </c>
    </row>
    <row r="385" spans="1:4" x14ac:dyDescent="0.2">
      <c r="A385">
        <v>348</v>
      </c>
      <c r="B385" s="61">
        <v>1.1118134512775324</v>
      </c>
      <c r="C385" s="60">
        <v>7292.4632213975074</v>
      </c>
      <c r="D385" s="60">
        <v>6559.0708702238508</v>
      </c>
    </row>
    <row r="386" spans="1:4" x14ac:dyDescent="0.2">
      <c r="A386">
        <v>349</v>
      </c>
      <c r="B386" s="61">
        <v>0.81976020864608667</v>
      </c>
      <c r="C386" s="60">
        <v>7437.1758811149739</v>
      </c>
      <c r="D386" s="60">
        <v>9072.3797064975734</v>
      </c>
    </row>
    <row r="387" spans="1:4" x14ac:dyDescent="0.2">
      <c r="A387">
        <v>350</v>
      </c>
      <c r="B387" s="61">
        <v>0.75036101359092289</v>
      </c>
      <c r="C387" s="60">
        <v>5326.0639406930459</v>
      </c>
      <c r="D387" s="60">
        <v>7098.0019540256608</v>
      </c>
    </row>
    <row r="388" spans="1:4" x14ac:dyDescent="0.2">
      <c r="A388">
        <v>351</v>
      </c>
      <c r="B388" s="61">
        <v>0.64961161321632588</v>
      </c>
      <c r="C388" s="60">
        <v>6845.6217303170379</v>
      </c>
      <c r="D388" s="60">
        <v>10538.022398373274</v>
      </c>
    </row>
    <row r="389" spans="1:4" x14ac:dyDescent="0.2">
      <c r="A389">
        <v>352</v>
      </c>
      <c r="B389" s="62">
        <v>0.96519074933789906</v>
      </c>
      <c r="C389" s="63">
        <v>4695.069491514887</v>
      </c>
      <c r="D389" s="63">
        <v>4864.39545212758</v>
      </c>
    </row>
    <row r="390" spans="1:4" x14ac:dyDescent="0.2">
      <c r="A390">
        <v>353</v>
      </c>
      <c r="B390" s="61">
        <v>0.67074801813893004</v>
      </c>
      <c r="C390" s="60">
        <v>6946.3245550261254</v>
      </c>
      <c r="D390" s="60">
        <v>10356.086588670851</v>
      </c>
    </row>
    <row r="391" spans="1:4" x14ac:dyDescent="0.2">
      <c r="A391">
        <v>354</v>
      </c>
      <c r="B391" s="61">
        <v>0.89906378338910908</v>
      </c>
      <c r="C391" s="60">
        <v>7067.8213089911369</v>
      </c>
      <c r="D391" s="60">
        <v>7861.3124447614737</v>
      </c>
    </row>
    <row r="392" spans="1:4" x14ac:dyDescent="0.2">
      <c r="A392">
        <v>355</v>
      </c>
      <c r="B392" s="61">
        <v>0.61423393911042989</v>
      </c>
      <c r="C392" s="60">
        <v>7218.3156718578157</v>
      </c>
      <c r="D392" s="60">
        <v>11751.736939694036</v>
      </c>
    </row>
    <row r="393" spans="1:4" x14ac:dyDescent="0.2">
      <c r="A393">
        <v>356</v>
      </c>
      <c r="B393" s="61">
        <v>0.87396543428151929</v>
      </c>
      <c r="C393" s="60">
        <v>7578.664095103084</v>
      </c>
      <c r="D393" s="60">
        <v>8671.5833347956705</v>
      </c>
    </row>
    <row r="394" spans="1:4" x14ac:dyDescent="0.2">
      <c r="A394">
        <v>357</v>
      </c>
      <c r="B394" s="61">
        <v>0.74452204398804511</v>
      </c>
      <c r="C394" s="60">
        <v>7129.8924273058437</v>
      </c>
      <c r="D394" s="60">
        <v>9576.4692058202236</v>
      </c>
    </row>
    <row r="395" spans="1:4" x14ac:dyDescent="0.2">
      <c r="A395">
        <v>358</v>
      </c>
      <c r="B395" s="61">
        <v>1.0681207595473428</v>
      </c>
      <c r="C395" s="60">
        <v>6078.3533405689705</v>
      </c>
      <c r="D395" s="60">
        <v>5690.698627695343</v>
      </c>
    </row>
    <row r="396" spans="1:4" x14ac:dyDescent="0.2">
      <c r="A396">
        <v>359</v>
      </c>
      <c r="B396" s="62">
        <v>0.93353589131686476</v>
      </c>
      <c r="C396" s="63">
        <v>6838.0254267099972</v>
      </c>
      <c r="D396" s="63">
        <v>7324.8661249265297</v>
      </c>
    </row>
    <row r="397" spans="1:4" x14ac:dyDescent="0.2">
      <c r="A397">
        <v>360</v>
      </c>
      <c r="B397" s="61">
        <v>0.84303410691921066</v>
      </c>
      <c r="C397" s="60">
        <v>7747.1311552097741</v>
      </c>
      <c r="D397" s="60">
        <v>9189.5821196617308</v>
      </c>
    </row>
    <row r="398" spans="1:4" x14ac:dyDescent="0.2">
      <c r="A398">
        <v>361</v>
      </c>
      <c r="B398" s="61">
        <v>0.97651614606359338</v>
      </c>
      <c r="C398" s="60">
        <v>6162.9947731870943</v>
      </c>
      <c r="D398" s="60">
        <v>6311.2062181773117</v>
      </c>
    </row>
    <row r="399" spans="1:4" x14ac:dyDescent="0.2">
      <c r="A399">
        <v>362</v>
      </c>
      <c r="B399" s="61">
        <v>0.69516339751583089</v>
      </c>
      <c r="C399" s="60">
        <v>5974.3836176878212</v>
      </c>
      <c r="D399" s="60">
        <v>8594.214883921255</v>
      </c>
    </row>
    <row r="400" spans="1:4" x14ac:dyDescent="0.2">
      <c r="A400">
        <v>363</v>
      </c>
      <c r="B400" s="61">
        <v>0.82082020211954809</v>
      </c>
      <c r="C400" s="60">
        <v>6706.8844159113487</v>
      </c>
      <c r="D400" s="60">
        <v>8170.9543680730785</v>
      </c>
    </row>
    <row r="401" spans="1:4" x14ac:dyDescent="0.2">
      <c r="A401">
        <v>364</v>
      </c>
      <c r="B401" s="61">
        <v>0.96208973466151715</v>
      </c>
      <c r="C401" s="60">
        <v>7174.0597770803288</v>
      </c>
      <c r="D401" s="60">
        <v>7456.7470357682487</v>
      </c>
    </row>
    <row r="402" spans="1:4" x14ac:dyDescent="0.2">
      <c r="A402">
        <v>365</v>
      </c>
      <c r="B402" s="61">
        <v>0.9084291011043959</v>
      </c>
      <c r="C402" s="60">
        <v>4526.447967441296</v>
      </c>
      <c r="D402" s="60">
        <v>4982.7201285586298</v>
      </c>
    </row>
    <row r="403" spans="1:4" x14ac:dyDescent="0.2">
      <c r="A403">
        <v>366</v>
      </c>
      <c r="B403" s="61">
        <v>0.85784533422824261</v>
      </c>
      <c r="C403" s="60">
        <v>9746.2517476332578</v>
      </c>
      <c r="D403" s="60">
        <v>11361.315797563249</v>
      </c>
    </row>
    <row r="404" spans="1:4" x14ac:dyDescent="0.2">
      <c r="A404">
        <v>367</v>
      </c>
      <c r="B404" s="61">
        <v>0.71113830560748781</v>
      </c>
      <c r="C404" s="60">
        <v>5477.0448640225368</v>
      </c>
      <c r="D404" s="60">
        <v>7701.7998057969717</v>
      </c>
    </row>
    <row r="405" spans="1:4" x14ac:dyDescent="0.2">
      <c r="A405">
        <v>368</v>
      </c>
      <c r="B405" s="61">
        <v>0.87226432803894127</v>
      </c>
      <c r="C405" s="60">
        <v>4963.3384947170271</v>
      </c>
      <c r="D405" s="60">
        <v>5690.1770887224038</v>
      </c>
    </row>
    <row r="406" spans="1:4" x14ac:dyDescent="0.2">
      <c r="A406">
        <v>369</v>
      </c>
      <c r="B406" s="61">
        <v>0.80100424307307705</v>
      </c>
      <c r="C406" s="60">
        <v>8278.3717399549823</v>
      </c>
      <c r="D406" s="60">
        <v>10334.991120889395</v>
      </c>
    </row>
    <row r="407" spans="1:4" x14ac:dyDescent="0.2">
      <c r="A407">
        <v>370</v>
      </c>
      <c r="B407" s="61">
        <v>0.82240422192080942</v>
      </c>
      <c r="C407" s="60">
        <v>7512.5391910941562</v>
      </c>
      <c r="D407" s="60">
        <v>9134.8499811295351</v>
      </c>
    </row>
    <row r="408" spans="1:4" x14ac:dyDescent="0.2">
      <c r="A408">
        <v>371</v>
      </c>
      <c r="B408" s="61">
        <v>0.89453293646226673</v>
      </c>
      <c r="C408" s="60">
        <v>4839.158060265052</v>
      </c>
      <c r="D408" s="60">
        <v>5409.7036151660777</v>
      </c>
    </row>
    <row r="409" spans="1:4" x14ac:dyDescent="0.2">
      <c r="A409">
        <v>372</v>
      </c>
      <c r="B409" s="61">
        <v>0.75586464481641791</v>
      </c>
      <c r="C409" s="60">
        <v>8503.3714952336504</v>
      </c>
      <c r="D409" s="60">
        <v>11249.86008215654</v>
      </c>
    </row>
    <row r="410" spans="1:4" x14ac:dyDescent="0.2">
      <c r="A410">
        <v>373</v>
      </c>
      <c r="B410" s="61">
        <v>1.047128705562768</v>
      </c>
      <c r="C410" s="60">
        <v>8730.3097893052418</v>
      </c>
      <c r="D410" s="60">
        <v>8337.3798683259574</v>
      </c>
    </row>
    <row r="411" spans="1:4" x14ac:dyDescent="0.2">
      <c r="A411">
        <v>374</v>
      </c>
      <c r="B411" s="61">
        <v>1.1727221177007285</v>
      </c>
      <c r="C411" s="60">
        <v>6528.3481424039182</v>
      </c>
      <c r="D411" s="60">
        <v>5566.8329639792064</v>
      </c>
    </row>
    <row r="412" spans="1:4" x14ac:dyDescent="0.2">
      <c r="A412">
        <v>375</v>
      </c>
      <c r="B412" s="61">
        <v>0.72678701243175325</v>
      </c>
      <c r="C412" s="60">
        <v>6625.078035575345</v>
      </c>
      <c r="D412" s="60">
        <v>9115.5702045479975</v>
      </c>
    </row>
    <row r="413" spans="1:4" x14ac:dyDescent="0.2">
      <c r="A413">
        <v>376</v>
      </c>
      <c r="B413" s="61">
        <v>0.85409894741518411</v>
      </c>
      <c r="C413" s="60">
        <v>6873.6464921199395</v>
      </c>
      <c r="D413" s="60">
        <v>8047.8339341385545</v>
      </c>
    </row>
    <row r="414" spans="1:4" x14ac:dyDescent="0.2">
      <c r="A414">
        <v>377</v>
      </c>
      <c r="B414" s="61">
        <v>0.67863432132083723</v>
      </c>
      <c r="C414" s="60">
        <v>7379.5341569736247</v>
      </c>
      <c r="D414" s="60">
        <v>10874.095112977362</v>
      </c>
    </row>
    <row r="415" spans="1:4" x14ac:dyDescent="0.2">
      <c r="A415">
        <v>378</v>
      </c>
      <c r="B415" s="61">
        <v>0.76612993327943268</v>
      </c>
      <c r="C415" s="60">
        <v>5350.5378995147003</v>
      </c>
      <c r="D415" s="60">
        <v>6983.8517816574904</v>
      </c>
    </row>
    <row r="416" spans="1:4" x14ac:dyDescent="0.2">
      <c r="A416">
        <v>379</v>
      </c>
      <c r="B416" s="61">
        <v>0.8912390674183559</v>
      </c>
      <c r="C416" s="60">
        <v>7999.1888857166869</v>
      </c>
      <c r="D416" s="60">
        <v>8975.3570934540203</v>
      </c>
    </row>
    <row r="417" spans="1:4" x14ac:dyDescent="0.2">
      <c r="A417">
        <v>380</v>
      </c>
      <c r="B417" s="61">
        <v>0.8100733967295568</v>
      </c>
      <c r="C417" s="60">
        <v>5785.2048370366902</v>
      </c>
      <c r="D417" s="60">
        <v>7141.5810720273312</v>
      </c>
    </row>
    <row r="418" spans="1:4" x14ac:dyDescent="0.2">
      <c r="A418">
        <v>381</v>
      </c>
      <c r="B418" s="61">
        <v>0.76671734183452234</v>
      </c>
      <c r="C418" s="60">
        <v>7146.189672556834</v>
      </c>
      <c r="D418" s="60">
        <v>9320.5008973165604</v>
      </c>
    </row>
    <row r="419" spans="1:4" x14ac:dyDescent="0.2">
      <c r="A419">
        <v>382</v>
      </c>
      <c r="B419" s="61">
        <v>0.66434953755434023</v>
      </c>
      <c r="C419" s="60">
        <v>6636.4155942548177</v>
      </c>
      <c r="D419" s="60">
        <v>9989.3432886027931</v>
      </c>
    </row>
    <row r="420" spans="1:4" x14ac:dyDescent="0.2">
      <c r="A420">
        <v>383</v>
      </c>
      <c r="B420" s="61">
        <v>1.0252775823885916</v>
      </c>
      <c r="C420" s="60">
        <v>5663.3875462481265</v>
      </c>
      <c r="D420" s="60">
        <v>5523.7602416451155</v>
      </c>
    </row>
    <row r="421" spans="1:4" x14ac:dyDescent="0.2">
      <c r="A421">
        <v>384</v>
      </c>
      <c r="B421" s="61">
        <v>0.7749005404347038</v>
      </c>
      <c r="C421" s="60">
        <v>6137.8364530533891</v>
      </c>
      <c r="D421" s="60">
        <v>7920.8054876438528</v>
      </c>
    </row>
    <row r="422" spans="1:4" x14ac:dyDescent="0.2">
      <c r="A422">
        <v>385</v>
      </c>
      <c r="B422" s="61">
        <v>0.59364359943803713</v>
      </c>
      <c r="C422" s="60">
        <v>7761.4648725092447</v>
      </c>
      <c r="D422" s="60">
        <v>13074.283761934781</v>
      </c>
    </row>
    <row r="423" spans="1:4" x14ac:dyDescent="0.2">
      <c r="A423">
        <v>386</v>
      </c>
      <c r="B423" s="61">
        <v>0.87125411404655129</v>
      </c>
      <c r="C423" s="60">
        <v>5755.4607340143921</v>
      </c>
      <c r="D423" s="60">
        <v>6605.9495630764695</v>
      </c>
    </row>
    <row r="424" spans="1:4" x14ac:dyDescent="0.2">
      <c r="A424">
        <v>387</v>
      </c>
      <c r="B424" s="61">
        <v>0.74071400175804225</v>
      </c>
      <c r="C424" s="60">
        <v>6407.8269863584046</v>
      </c>
      <c r="D424" s="60">
        <v>8650.8787077735724</v>
      </c>
    </row>
    <row r="425" spans="1:4" x14ac:dyDescent="0.2">
      <c r="A425">
        <v>388</v>
      </c>
      <c r="B425" s="61">
        <v>0.96459572712767638</v>
      </c>
      <c r="C425" s="60">
        <v>8148.1622801707508</v>
      </c>
      <c r="D425" s="60">
        <v>8447.2303277083029</v>
      </c>
    </row>
    <row r="426" spans="1:4" x14ac:dyDescent="0.2">
      <c r="A426">
        <v>389</v>
      </c>
      <c r="B426" s="61">
        <v>0.82554719186802039</v>
      </c>
      <c r="C426" s="60">
        <v>7796.6718571946785</v>
      </c>
      <c r="D426" s="60">
        <v>9444.2473234663084</v>
      </c>
    </row>
    <row r="427" spans="1:4" x14ac:dyDescent="0.2">
      <c r="A427">
        <v>390</v>
      </c>
      <c r="B427" s="61">
        <v>0.61050280321953387</v>
      </c>
      <c r="C427" s="60">
        <v>7217.7502751753564</v>
      </c>
      <c r="D427" s="60">
        <v>11822.632487700286</v>
      </c>
    </row>
    <row r="428" spans="1:4" x14ac:dyDescent="0.2">
      <c r="A428">
        <v>391</v>
      </c>
      <c r="B428" s="61">
        <v>0.9386955320848811</v>
      </c>
      <c r="C428" s="60">
        <v>4860.0929561710091</v>
      </c>
      <c r="D428" s="60">
        <v>5177.4966323495164</v>
      </c>
    </row>
    <row r="429" spans="1:4" x14ac:dyDescent="0.2">
      <c r="A429">
        <v>392</v>
      </c>
      <c r="B429" s="62">
        <v>1.0524403724122235</v>
      </c>
      <c r="C429" s="63">
        <v>7168.8048524737969</v>
      </c>
      <c r="D429" s="63">
        <v>6811.6019115103791</v>
      </c>
    </row>
    <row r="430" spans="1:4" x14ac:dyDescent="0.2">
      <c r="A430">
        <v>393</v>
      </c>
      <c r="B430" s="61">
        <v>0.78477965456165677</v>
      </c>
      <c r="C430" s="60">
        <v>7307.9985651308834</v>
      </c>
      <c r="D430" s="60">
        <v>9312.1661891359927</v>
      </c>
    </row>
    <row r="431" spans="1:4" x14ac:dyDescent="0.2">
      <c r="A431">
        <v>394</v>
      </c>
      <c r="B431" s="61">
        <v>0.607494118366942</v>
      </c>
      <c r="C431" s="60">
        <v>6225.2329132355972</v>
      </c>
      <c r="D431" s="60">
        <v>10247.396188740377</v>
      </c>
    </row>
    <row r="432" spans="1:4" x14ac:dyDescent="0.2">
      <c r="A432">
        <v>395</v>
      </c>
      <c r="B432" s="61">
        <v>0.91124783055223357</v>
      </c>
      <c r="C432" s="60">
        <v>7185.5975157878474</v>
      </c>
      <c r="D432" s="60">
        <v>7885.4481457950233</v>
      </c>
    </row>
    <row r="433" spans="1:4" x14ac:dyDescent="0.2">
      <c r="A433">
        <v>396</v>
      </c>
      <c r="B433" s="61">
        <v>0.93597831068177317</v>
      </c>
      <c r="C433" s="60">
        <v>6251.115648747038</v>
      </c>
      <c r="D433" s="60">
        <v>6678.6971208699069</v>
      </c>
    </row>
    <row r="434" spans="1:4" x14ac:dyDescent="0.2">
      <c r="A434">
        <v>397</v>
      </c>
      <c r="B434" s="61">
        <v>0.68919575866985294</v>
      </c>
      <c r="C434" s="60">
        <v>5329.4936184294656</v>
      </c>
      <c r="D434" s="60">
        <v>7732.9170288502391</v>
      </c>
    </row>
    <row r="435" spans="1:4" x14ac:dyDescent="0.2">
      <c r="A435">
        <v>398</v>
      </c>
      <c r="B435" s="61">
        <v>0.75303246518875433</v>
      </c>
      <c r="C435" s="60">
        <v>7056.8695379974988</v>
      </c>
      <c r="D435" s="60">
        <v>9371.2686560314924</v>
      </c>
    </row>
    <row r="436" spans="1:4" x14ac:dyDescent="0.2">
      <c r="A436">
        <v>399</v>
      </c>
      <c r="B436" s="61">
        <v>1.0001067215348707</v>
      </c>
      <c r="C436" s="60">
        <v>6034.3763778864904</v>
      </c>
      <c r="D436" s="60">
        <v>6033.7324486985663</v>
      </c>
    </row>
    <row r="437" spans="1:4" x14ac:dyDescent="0.2">
      <c r="A437">
        <v>400</v>
      </c>
      <c r="B437" s="61">
        <v>0.96716539528849221</v>
      </c>
      <c r="C437" s="60">
        <v>7097.6758365002506</v>
      </c>
      <c r="D437" s="60">
        <v>7338.6370842839251</v>
      </c>
    </row>
    <row r="438" spans="1:4" x14ac:dyDescent="0.2">
      <c r="A438">
        <v>401</v>
      </c>
      <c r="B438" s="61">
        <v>0.85080381195655796</v>
      </c>
      <c r="C438" s="60">
        <v>6586.284896725605</v>
      </c>
      <c r="D438" s="60">
        <v>7741.2498676744299</v>
      </c>
    </row>
    <row r="439" spans="1:4" x14ac:dyDescent="0.2">
      <c r="A439">
        <v>402</v>
      </c>
      <c r="B439" s="61">
        <v>0.76502036441488031</v>
      </c>
      <c r="C439" s="60">
        <v>7650.7327817205141</v>
      </c>
      <c r="D439" s="60">
        <v>10000.691664688058</v>
      </c>
    </row>
    <row r="440" spans="1:4" x14ac:dyDescent="0.2">
      <c r="A440">
        <v>403</v>
      </c>
      <c r="B440" s="62">
        <v>0.85546398339326046</v>
      </c>
      <c r="C440" s="63">
        <v>7154.2677196931418</v>
      </c>
      <c r="D440" s="63">
        <v>8363.0262156861536</v>
      </c>
    </row>
    <row r="441" spans="1:4" x14ac:dyDescent="0.2">
      <c r="A441">
        <v>404</v>
      </c>
      <c r="B441" s="61">
        <v>1.0391282539116622</v>
      </c>
      <c r="C441" s="60">
        <v>6522.4165786250014</v>
      </c>
      <c r="D441" s="60">
        <v>6276.8157386465227</v>
      </c>
    </row>
    <row r="442" spans="1:4" x14ac:dyDescent="0.2">
      <c r="A442">
        <v>405</v>
      </c>
      <c r="B442" s="61">
        <v>0.97077499854420068</v>
      </c>
      <c r="C442" s="60">
        <v>5643.011056420466</v>
      </c>
      <c r="D442" s="60">
        <v>5812.8928586777283</v>
      </c>
    </row>
    <row r="443" spans="1:4" x14ac:dyDescent="0.2">
      <c r="A443">
        <v>406</v>
      </c>
      <c r="B443" s="61">
        <v>1.0223729610305581</v>
      </c>
      <c r="C443" s="60">
        <v>3798.1795182769965</v>
      </c>
      <c r="D443" s="60">
        <v>3715.0625682122977</v>
      </c>
    </row>
    <row r="444" spans="1:4" x14ac:dyDescent="0.2">
      <c r="A444">
        <v>407</v>
      </c>
      <c r="B444" s="61">
        <v>0.68705035395911551</v>
      </c>
      <c r="C444" s="60">
        <v>6533.3514251955712</v>
      </c>
      <c r="D444" s="60">
        <v>9509.2759759852379</v>
      </c>
    </row>
    <row r="445" spans="1:4" x14ac:dyDescent="0.2">
      <c r="A445">
        <v>408</v>
      </c>
      <c r="B445" s="61">
        <v>0.89074069168072167</v>
      </c>
      <c r="C445" s="60">
        <v>7687.4936839371649</v>
      </c>
      <c r="D445" s="60">
        <v>8630.4507650052219</v>
      </c>
    </row>
    <row r="446" spans="1:4" x14ac:dyDescent="0.2">
      <c r="A446">
        <v>409</v>
      </c>
      <c r="B446" s="61">
        <v>0.79378413739702225</v>
      </c>
      <c r="C446" s="60">
        <v>6911.4108533758881</v>
      </c>
      <c r="D446" s="60">
        <v>8706.9147993304505</v>
      </c>
    </row>
    <row r="447" spans="1:4" x14ac:dyDescent="0.2">
      <c r="A447">
        <v>410</v>
      </c>
      <c r="B447" s="61">
        <v>0.66414513173303114</v>
      </c>
      <c r="C447" s="60">
        <v>6959.9768283525191</v>
      </c>
      <c r="D447" s="60">
        <v>10479.602267340335</v>
      </c>
    </row>
    <row r="448" spans="1:4" x14ac:dyDescent="0.2">
      <c r="A448">
        <v>411</v>
      </c>
      <c r="B448" s="61">
        <v>0.84184067831704112</v>
      </c>
      <c r="C448" s="60">
        <v>6451.2926180151553</v>
      </c>
      <c r="D448" s="60">
        <v>7663.3177561723487</v>
      </c>
    </row>
    <row r="449" spans="1:4" x14ac:dyDescent="0.2">
      <c r="A449">
        <v>412</v>
      </c>
      <c r="B449" s="61">
        <v>0.89587425992022052</v>
      </c>
      <c r="C449" s="60">
        <v>5424.1111832812367</v>
      </c>
      <c r="D449" s="60">
        <v>6054.5451811108687</v>
      </c>
    </row>
    <row r="450" spans="1:4" x14ac:dyDescent="0.2">
      <c r="A450">
        <v>413</v>
      </c>
      <c r="B450" s="61">
        <v>0.76680301248209481</v>
      </c>
      <c r="C450" s="60">
        <v>5795.4677517482796</v>
      </c>
      <c r="D450" s="60">
        <v>7557.9616373554691</v>
      </c>
    </row>
    <row r="451" spans="1:4" x14ac:dyDescent="0.2">
      <c r="A451">
        <v>414</v>
      </c>
      <c r="B451" s="61">
        <v>0.71154251520396627</v>
      </c>
      <c r="C451" s="60">
        <v>7275.4608740820695</v>
      </c>
      <c r="D451" s="60">
        <v>10224.913787472744</v>
      </c>
    </row>
    <row r="452" spans="1:4" x14ac:dyDescent="0.2">
      <c r="A452">
        <v>415</v>
      </c>
      <c r="B452" s="61">
        <v>0.67915266091504378</v>
      </c>
      <c r="C452" s="60">
        <v>7978.3153185013371</v>
      </c>
      <c r="D452" s="60">
        <v>11747.454994510221</v>
      </c>
    </row>
    <row r="453" spans="1:4" x14ac:dyDescent="0.2">
      <c r="A453">
        <v>416</v>
      </c>
      <c r="B453" s="61">
        <v>0.80105911249566475</v>
      </c>
      <c r="C453" s="60">
        <v>7066.2784963111726</v>
      </c>
      <c r="D453" s="60">
        <v>8821.1698563623977</v>
      </c>
    </row>
    <row r="454" spans="1:4" x14ac:dyDescent="0.2">
      <c r="A454">
        <v>417</v>
      </c>
      <c r="B454" s="61">
        <v>0.79997266252155974</v>
      </c>
      <c r="C454" s="60">
        <v>6575.399487718023</v>
      </c>
      <c r="D454" s="60">
        <v>8219.5302361858048</v>
      </c>
    </row>
    <row r="455" spans="1:4" x14ac:dyDescent="0.2">
      <c r="A455">
        <v>418</v>
      </c>
      <c r="B455" s="61">
        <v>0.90666531178796195</v>
      </c>
      <c r="C455" s="60">
        <v>6523.6052902481661</v>
      </c>
      <c r="D455" s="60">
        <v>7195.1636457597424</v>
      </c>
    </row>
    <row r="456" spans="1:4" x14ac:dyDescent="0.2">
      <c r="A456">
        <v>419</v>
      </c>
      <c r="B456" s="61">
        <v>1.0477987257903134</v>
      </c>
      <c r="C456" s="60">
        <v>6043.6951508525271</v>
      </c>
      <c r="D456" s="60">
        <v>5767.9924608555002</v>
      </c>
    </row>
    <row r="457" spans="1:4" x14ac:dyDescent="0.2">
      <c r="A457">
        <v>420</v>
      </c>
      <c r="B457" s="61">
        <v>0.94432359033118995</v>
      </c>
      <c r="C457" s="60">
        <v>5982.3767434303072</v>
      </c>
      <c r="D457" s="60">
        <v>6335.0919162489508</v>
      </c>
    </row>
    <row r="458" spans="1:4" x14ac:dyDescent="0.2">
      <c r="A458">
        <v>421</v>
      </c>
      <c r="B458" s="61">
        <v>0.94798785649344808</v>
      </c>
      <c r="C458" s="60">
        <v>7205.5978144177825</v>
      </c>
      <c r="D458" s="60">
        <v>7600.9389414236484</v>
      </c>
    </row>
    <row r="459" spans="1:4" x14ac:dyDescent="0.2">
      <c r="A459">
        <v>422</v>
      </c>
      <c r="B459" s="61">
        <v>0.66527807548017126</v>
      </c>
      <c r="C459" s="60">
        <v>8223.1963889968174</v>
      </c>
      <c r="D459" s="60">
        <v>12360.54018924589</v>
      </c>
    </row>
    <row r="460" spans="1:4" x14ac:dyDescent="0.2">
      <c r="A460">
        <v>423</v>
      </c>
      <c r="B460" s="61">
        <v>0.8387774445754399</v>
      </c>
      <c r="C460" s="60">
        <v>8485.0791474073812</v>
      </c>
      <c r="D460" s="60">
        <v>10116.007770931697</v>
      </c>
    </row>
    <row r="461" spans="1:4" x14ac:dyDescent="0.2">
      <c r="A461">
        <v>424</v>
      </c>
      <c r="B461" s="61">
        <v>1.1045750793460698</v>
      </c>
      <c r="C461" s="60">
        <v>7844.7186652612345</v>
      </c>
      <c r="D461" s="60">
        <v>7102.0239474400078</v>
      </c>
    </row>
    <row r="462" spans="1:4" x14ac:dyDescent="0.2">
      <c r="A462">
        <v>425</v>
      </c>
      <c r="B462" s="61">
        <v>1.0120824241727062</v>
      </c>
      <c r="C462" s="60">
        <v>6948.2501220175582</v>
      </c>
      <c r="D462" s="60">
        <v>6865.3006475210541</v>
      </c>
    </row>
    <row r="463" spans="1:4" x14ac:dyDescent="0.2">
      <c r="A463">
        <v>426</v>
      </c>
      <c r="B463" s="61">
        <v>0.61479828600488151</v>
      </c>
      <c r="C463" s="60">
        <v>5858.25515331727</v>
      </c>
      <c r="D463" s="60">
        <v>9528.7434702945084</v>
      </c>
    </row>
    <row r="464" spans="1:4" x14ac:dyDescent="0.2">
      <c r="A464">
        <v>427</v>
      </c>
      <c r="B464" s="61">
        <v>0.93743478207228126</v>
      </c>
      <c r="C464" s="60">
        <v>5425.2279106690858</v>
      </c>
      <c r="D464" s="60">
        <v>5787.3123703348692</v>
      </c>
    </row>
    <row r="465" spans="1:4" x14ac:dyDescent="0.2">
      <c r="A465">
        <v>428</v>
      </c>
      <c r="B465" s="62">
        <v>0.62192776301189134</v>
      </c>
      <c r="C465" s="63">
        <v>7864.0306648690421</v>
      </c>
      <c r="D465" s="63">
        <v>12644.604619007305</v>
      </c>
    </row>
    <row r="466" spans="1:4" x14ac:dyDescent="0.2">
      <c r="A466">
        <v>429</v>
      </c>
      <c r="B466" s="61">
        <v>0.93258023237456378</v>
      </c>
      <c r="C466" s="60">
        <v>6682.8812849900169</v>
      </c>
      <c r="D466" s="60">
        <v>7166.0121595906703</v>
      </c>
    </row>
    <row r="467" spans="1:4" x14ac:dyDescent="0.2">
      <c r="A467">
        <v>430</v>
      </c>
      <c r="B467" s="61">
        <v>0.8875914744956237</v>
      </c>
      <c r="C467" s="60">
        <v>6826.9145377146833</v>
      </c>
      <c r="D467" s="60">
        <v>7691.5053083335397</v>
      </c>
    </row>
    <row r="468" spans="1:4" x14ac:dyDescent="0.2">
      <c r="A468">
        <v>431</v>
      </c>
      <c r="B468" s="61">
        <v>0.87496979852308687</v>
      </c>
      <c r="C468" s="60">
        <v>8265.7931371427021</v>
      </c>
      <c r="D468" s="60">
        <v>9446.9467987295357</v>
      </c>
    </row>
    <row r="469" spans="1:4" x14ac:dyDescent="0.2">
      <c r="A469">
        <v>432</v>
      </c>
      <c r="B469" s="61">
        <v>0.88441956961560386</v>
      </c>
      <c r="C469" s="60">
        <v>7063.6885118224473</v>
      </c>
      <c r="D469" s="60">
        <v>7986.8071156459655</v>
      </c>
    </row>
    <row r="470" spans="1:4" x14ac:dyDescent="0.2">
      <c r="A470">
        <v>433</v>
      </c>
      <c r="B470" s="61">
        <v>0.77065755470287023</v>
      </c>
      <c r="C470" s="60">
        <v>8362.8417548774669</v>
      </c>
      <c r="D470" s="60">
        <v>10851.566566555999</v>
      </c>
    </row>
    <row r="471" spans="1:4" x14ac:dyDescent="0.2">
      <c r="A471">
        <v>434</v>
      </c>
      <c r="B471" s="61">
        <v>0.79387230411349563</v>
      </c>
      <c r="C471" s="60">
        <v>5264.9315941721052</v>
      </c>
      <c r="D471" s="60">
        <v>6631.9628067279273</v>
      </c>
    </row>
    <row r="472" spans="1:4" x14ac:dyDescent="0.2">
      <c r="A472">
        <v>435</v>
      </c>
      <c r="B472" s="61">
        <v>0.7757087575752184</v>
      </c>
      <c r="C472" s="60">
        <v>7900.4452563544637</v>
      </c>
      <c r="D472" s="60">
        <v>10184.808640101473</v>
      </c>
    </row>
    <row r="473" spans="1:4" x14ac:dyDescent="0.2">
      <c r="A473">
        <v>436</v>
      </c>
      <c r="B473" s="61">
        <v>0.97490845008541172</v>
      </c>
      <c r="C473" s="60">
        <v>5052.6917103152373</v>
      </c>
      <c r="D473" s="60">
        <v>5182.7345530470793</v>
      </c>
    </row>
    <row r="474" spans="1:4" x14ac:dyDescent="0.2">
      <c r="A474">
        <v>437</v>
      </c>
      <c r="B474" s="61">
        <v>0.97405070418516537</v>
      </c>
      <c r="C474" s="60">
        <v>6717.3580473735055</v>
      </c>
      <c r="D474" s="60">
        <v>6896.3125004800031</v>
      </c>
    </row>
    <row r="475" spans="1:4" x14ac:dyDescent="0.2">
      <c r="A475">
        <v>438</v>
      </c>
      <c r="B475" s="61">
        <v>0.97311716351141353</v>
      </c>
      <c r="C475" s="60">
        <v>5267.906756679864</v>
      </c>
      <c r="D475" s="60">
        <v>5413.4352513843805</v>
      </c>
    </row>
    <row r="476" spans="1:4" x14ac:dyDescent="0.2">
      <c r="A476">
        <v>439</v>
      </c>
      <c r="B476" s="61">
        <v>0.95390266731260454</v>
      </c>
      <c r="C476" s="60">
        <v>6363.8499575117785</v>
      </c>
      <c r="D476" s="60">
        <v>6671.3829152406324</v>
      </c>
    </row>
    <row r="477" spans="1:4" x14ac:dyDescent="0.2">
      <c r="A477">
        <v>440</v>
      </c>
      <c r="B477" s="61">
        <v>0.76741221211345678</v>
      </c>
      <c r="C477" s="60">
        <v>6413.1216609146177</v>
      </c>
      <c r="D477" s="60">
        <v>8356.8147075127345</v>
      </c>
    </row>
    <row r="478" spans="1:4" x14ac:dyDescent="0.2">
      <c r="A478">
        <v>441</v>
      </c>
      <c r="B478" s="61">
        <v>0.91121228048303671</v>
      </c>
      <c r="C478" s="60">
        <v>7200.3125997945044</v>
      </c>
      <c r="D478" s="60">
        <v>7901.9046977479211</v>
      </c>
    </row>
    <row r="479" spans="1:4" x14ac:dyDescent="0.2">
      <c r="A479">
        <v>442</v>
      </c>
      <c r="B479" s="61">
        <v>0.85439489066819085</v>
      </c>
      <c r="C479" s="60">
        <v>7581.1985504817931</v>
      </c>
      <c r="D479" s="60">
        <v>8873.1787061048744</v>
      </c>
    </row>
    <row r="480" spans="1:4" x14ac:dyDescent="0.2">
      <c r="A480">
        <v>443</v>
      </c>
      <c r="B480" s="61">
        <v>0.79882135247546948</v>
      </c>
      <c r="C480" s="60">
        <v>7811.5886213196391</v>
      </c>
      <c r="D480" s="60">
        <v>9778.8931118482087</v>
      </c>
    </row>
    <row r="481" spans="1:4" x14ac:dyDescent="0.2">
      <c r="A481">
        <v>444</v>
      </c>
      <c r="B481" s="61">
        <v>0.85337381140657698</v>
      </c>
      <c r="C481" s="60">
        <v>6677.3588196439177</v>
      </c>
      <c r="D481" s="60">
        <v>7824.6587021904652</v>
      </c>
    </row>
    <row r="482" spans="1:4" x14ac:dyDescent="0.2">
      <c r="A482">
        <v>445</v>
      </c>
      <c r="B482" s="61">
        <v>0.74044086513422513</v>
      </c>
      <c r="C482" s="60">
        <v>5665.2145378954447</v>
      </c>
      <c r="D482" s="60">
        <v>7651.1370518001731</v>
      </c>
    </row>
    <row r="483" spans="1:4" x14ac:dyDescent="0.2">
      <c r="A483">
        <v>446</v>
      </c>
      <c r="B483" s="61">
        <v>0.94600541944618044</v>
      </c>
      <c r="C483" s="60">
        <v>7696.5458439231925</v>
      </c>
      <c r="D483" s="60">
        <v>8135.8369473496023</v>
      </c>
    </row>
    <row r="484" spans="1:4" x14ac:dyDescent="0.2">
      <c r="A484">
        <v>447</v>
      </c>
      <c r="B484" s="61">
        <v>0.82005941805358873</v>
      </c>
      <c r="C484" s="60">
        <v>8847.1938361898574</v>
      </c>
      <c r="D484" s="60">
        <v>10788.479031420278</v>
      </c>
    </row>
    <row r="485" spans="1:4" x14ac:dyDescent="0.2">
      <c r="A485">
        <v>448</v>
      </c>
      <c r="B485" s="61">
        <v>0.66587722528897686</v>
      </c>
      <c r="C485" s="60">
        <v>8232.4907568210892</v>
      </c>
      <c r="D485" s="60">
        <v>12363.376376551038</v>
      </c>
    </row>
    <row r="486" spans="1:4" x14ac:dyDescent="0.2">
      <c r="A486">
        <v>449</v>
      </c>
      <c r="B486" s="61">
        <v>0.69390146926409635</v>
      </c>
      <c r="C486" s="60">
        <v>6073.009375867834</v>
      </c>
      <c r="D486" s="60">
        <v>8751.976533942845</v>
      </c>
    </row>
    <row r="487" spans="1:4" x14ac:dyDescent="0.2">
      <c r="A487">
        <v>450</v>
      </c>
      <c r="B487" s="61">
        <v>0.864103368087207</v>
      </c>
      <c r="C487" s="60">
        <v>6710.3922132263324</v>
      </c>
      <c r="D487" s="60">
        <v>7765.7285702757572</v>
      </c>
    </row>
    <row r="488" spans="1:4" x14ac:dyDescent="0.2">
      <c r="A488">
        <v>451</v>
      </c>
      <c r="B488" s="61">
        <v>0.75029199833400551</v>
      </c>
      <c r="C488" s="60">
        <v>6892.805467596273</v>
      </c>
      <c r="D488" s="60">
        <v>9186.8305711662688</v>
      </c>
    </row>
    <row r="489" spans="1:4" x14ac:dyDescent="0.2">
      <c r="A489">
        <v>452</v>
      </c>
      <c r="B489" s="61">
        <v>0.80185127837957815</v>
      </c>
      <c r="C489" s="60">
        <v>7302.0063446933091</v>
      </c>
      <c r="D489" s="60">
        <v>9106.4347486600946</v>
      </c>
    </row>
    <row r="490" spans="1:4" x14ac:dyDescent="0.2">
      <c r="A490">
        <v>453</v>
      </c>
      <c r="B490" s="61">
        <v>0.66952448045147062</v>
      </c>
      <c r="C490" s="60">
        <v>5364.6148458820062</v>
      </c>
      <c r="D490" s="60">
        <v>8012.5745996092091</v>
      </c>
    </row>
    <row r="491" spans="1:4" x14ac:dyDescent="0.2">
      <c r="A491">
        <v>454</v>
      </c>
      <c r="B491" s="61">
        <v>0.65476015728627956</v>
      </c>
      <c r="C491" s="60">
        <v>7487.2441901139355</v>
      </c>
      <c r="D491" s="60">
        <v>11435.094372793825</v>
      </c>
    </row>
    <row r="492" spans="1:4" x14ac:dyDescent="0.2">
      <c r="A492">
        <v>455</v>
      </c>
      <c r="B492" s="61">
        <v>1.2051974149812752</v>
      </c>
      <c r="C492" s="60">
        <v>7074.4325847851869</v>
      </c>
      <c r="D492" s="60">
        <v>5869.9367396959615</v>
      </c>
    </row>
    <row r="493" spans="1:4" x14ac:dyDescent="0.2">
      <c r="A493">
        <v>456</v>
      </c>
      <c r="B493" s="61">
        <v>0.74052182192077964</v>
      </c>
      <c r="C493" s="60">
        <v>5673.5188394697907</v>
      </c>
      <c r="D493" s="60">
        <v>7661.5147204625373</v>
      </c>
    </row>
    <row r="494" spans="1:4" x14ac:dyDescent="0.2">
      <c r="A494">
        <v>457</v>
      </c>
      <c r="B494" s="61">
        <v>0.79227224789336237</v>
      </c>
      <c r="C494" s="60">
        <v>7081.7901503587509</v>
      </c>
      <c r="D494" s="60">
        <v>8938.5816165959404</v>
      </c>
    </row>
    <row r="495" spans="1:4" x14ac:dyDescent="0.2">
      <c r="A495">
        <v>458</v>
      </c>
      <c r="B495" s="61">
        <v>0.77588006782952057</v>
      </c>
      <c r="C495" s="60">
        <v>6539.2408432174743</v>
      </c>
      <c r="D495" s="60">
        <v>8428.1593436349267</v>
      </c>
    </row>
    <row r="496" spans="1:4" x14ac:dyDescent="0.2">
      <c r="A496">
        <v>459</v>
      </c>
      <c r="B496" s="61">
        <v>0.73824155782907575</v>
      </c>
      <c r="C496" s="60">
        <v>9785.5354686616192</v>
      </c>
      <c r="D496" s="60">
        <v>13255.194542877865</v>
      </c>
    </row>
    <row r="497" spans="1:4" x14ac:dyDescent="0.2">
      <c r="A497">
        <v>460</v>
      </c>
      <c r="B497" s="61">
        <v>1.0562115009774837</v>
      </c>
      <c r="C497" s="60">
        <v>8425.4830497979892</v>
      </c>
      <c r="D497" s="60">
        <v>7977.0794410026056</v>
      </c>
    </row>
    <row r="498" spans="1:4" x14ac:dyDescent="0.2">
      <c r="A498">
        <v>461</v>
      </c>
      <c r="B498" s="61">
        <v>0.8345575747877465</v>
      </c>
      <c r="C498" s="60">
        <v>7618.2078082773696</v>
      </c>
      <c r="D498" s="60">
        <v>9128.4388739925016</v>
      </c>
    </row>
    <row r="499" spans="1:4" x14ac:dyDescent="0.2">
      <c r="A499">
        <v>462</v>
      </c>
      <c r="B499" s="61">
        <v>0.78007794795023244</v>
      </c>
      <c r="C499" s="60">
        <v>6231.2590961636251</v>
      </c>
      <c r="D499" s="60">
        <v>7987.9954465283363</v>
      </c>
    </row>
    <row r="500" spans="1:4" x14ac:dyDescent="0.2">
      <c r="A500">
        <v>463</v>
      </c>
      <c r="B500" s="61">
        <v>0.44442592353478982</v>
      </c>
      <c r="C500" s="60">
        <v>7619.0189685562709</v>
      </c>
      <c r="D500" s="60">
        <v>17143.50708427982</v>
      </c>
    </row>
    <row r="501" spans="1:4" x14ac:dyDescent="0.2">
      <c r="A501">
        <v>464</v>
      </c>
      <c r="B501" s="61">
        <v>0.99566250823178759</v>
      </c>
      <c r="C501" s="60">
        <v>7451.8103228492437</v>
      </c>
      <c r="D501" s="60">
        <v>7484.2732966645781</v>
      </c>
    </row>
    <row r="502" spans="1:4" x14ac:dyDescent="0.2">
      <c r="A502">
        <v>465</v>
      </c>
      <c r="B502" s="61">
        <v>0.74566945154142328</v>
      </c>
      <c r="C502" s="60">
        <v>6557.4460124128027</v>
      </c>
      <c r="D502" s="60">
        <v>8794.0386975186757</v>
      </c>
    </row>
    <row r="503" spans="1:4" x14ac:dyDescent="0.2">
      <c r="A503">
        <v>466</v>
      </c>
      <c r="B503" s="61">
        <v>0.7964021774014487</v>
      </c>
      <c r="C503" s="60">
        <v>5876.3386900239875</v>
      </c>
      <c r="D503" s="60">
        <v>7378.6070113440373</v>
      </c>
    </row>
    <row r="504" spans="1:4" x14ac:dyDescent="0.2">
      <c r="A504">
        <v>467</v>
      </c>
      <c r="B504" s="61">
        <v>0.80051723013863008</v>
      </c>
      <c r="C504" s="60">
        <v>6832.0639704711975</v>
      </c>
      <c r="D504" s="60">
        <v>8534.5620472004721</v>
      </c>
    </row>
    <row r="505" spans="1:4" x14ac:dyDescent="0.2">
      <c r="A505">
        <v>468</v>
      </c>
      <c r="B505" s="61">
        <v>0.75680542341756585</v>
      </c>
      <c r="C505" s="60">
        <v>6460.7258567923764</v>
      </c>
      <c r="D505" s="60">
        <v>8536.8387393646935</v>
      </c>
    </row>
    <row r="506" spans="1:4" x14ac:dyDescent="0.2">
      <c r="A506">
        <v>469</v>
      </c>
      <c r="B506" s="61">
        <v>0.79356199254131177</v>
      </c>
      <c r="C506" s="60">
        <v>5394.0001132610669</v>
      </c>
      <c r="D506" s="60">
        <v>6797.2006774004649</v>
      </c>
    </row>
    <row r="507" spans="1:4" x14ac:dyDescent="0.2">
      <c r="A507">
        <v>470</v>
      </c>
      <c r="B507" s="61">
        <v>0.86274979382462025</v>
      </c>
      <c r="C507" s="60">
        <v>6730.3975585861754</v>
      </c>
      <c r="D507" s="60">
        <v>7801.1001645679098</v>
      </c>
    </row>
    <row r="508" spans="1:4" x14ac:dyDescent="0.2">
      <c r="A508">
        <v>471</v>
      </c>
      <c r="B508" s="61">
        <v>0.84050514040575397</v>
      </c>
      <c r="C508" s="60">
        <v>9241.5610724334019</v>
      </c>
      <c r="D508" s="60">
        <v>10995.246344325791</v>
      </c>
    </row>
    <row r="509" spans="1:4" x14ac:dyDescent="0.2">
      <c r="A509">
        <v>472</v>
      </c>
      <c r="B509" s="62">
        <v>0.90499547666845714</v>
      </c>
      <c r="C509" s="63">
        <v>5778.4099673403744</v>
      </c>
      <c r="D509" s="63">
        <v>6385.0153026314856</v>
      </c>
    </row>
    <row r="510" spans="1:4" x14ac:dyDescent="0.2">
      <c r="A510">
        <v>473</v>
      </c>
      <c r="B510" s="61">
        <v>0.86212500243005863</v>
      </c>
      <c r="C510" s="60">
        <v>7384.8127085646174</v>
      </c>
      <c r="D510" s="60">
        <v>8565.8259391029824</v>
      </c>
    </row>
    <row r="511" spans="1:4" x14ac:dyDescent="0.2">
      <c r="A511">
        <v>474</v>
      </c>
      <c r="B511" s="61">
        <v>0.87879845484764196</v>
      </c>
      <c r="C511" s="60">
        <v>7013.5449163398353</v>
      </c>
      <c r="D511" s="60">
        <v>7980.83437408385</v>
      </c>
    </row>
    <row r="512" spans="1:4" x14ac:dyDescent="0.2">
      <c r="A512">
        <v>475</v>
      </c>
      <c r="B512" s="61">
        <v>0.75937551910744627</v>
      </c>
      <c r="C512" s="60">
        <v>7827.6262693851331</v>
      </c>
      <c r="D512" s="60">
        <v>10307.978164196757</v>
      </c>
    </row>
    <row r="513" spans="1:4" x14ac:dyDescent="0.2">
      <c r="A513">
        <v>476</v>
      </c>
      <c r="B513" s="61">
        <v>0.8130390143178019</v>
      </c>
      <c r="C513" s="60">
        <v>5420.7610305908947</v>
      </c>
      <c r="D513" s="60">
        <v>6667.2827934823063</v>
      </c>
    </row>
    <row r="514" spans="1:4" x14ac:dyDescent="0.2">
      <c r="A514">
        <v>477</v>
      </c>
      <c r="B514" s="61">
        <v>0.9932720919367819</v>
      </c>
      <c r="C514" s="60">
        <v>6255.3426133784305</v>
      </c>
      <c r="D514" s="60">
        <v>6297.7130477723722</v>
      </c>
    </row>
    <row r="515" spans="1:4" x14ac:dyDescent="0.2">
      <c r="A515">
        <v>478</v>
      </c>
      <c r="B515" s="61">
        <v>0.92994271563017428</v>
      </c>
      <c r="C515" s="60">
        <v>6842.990113027694</v>
      </c>
      <c r="D515" s="60">
        <v>7358.5071402925632</v>
      </c>
    </row>
    <row r="516" spans="1:4" x14ac:dyDescent="0.2">
      <c r="A516">
        <v>479</v>
      </c>
      <c r="B516" s="61">
        <v>0.69175594085261949</v>
      </c>
      <c r="C516" s="60">
        <v>8027.794414300226</v>
      </c>
      <c r="D516" s="60">
        <v>11604.951891566869</v>
      </c>
    </row>
    <row r="517" spans="1:4" x14ac:dyDescent="0.2">
      <c r="A517">
        <v>480</v>
      </c>
      <c r="B517" s="61">
        <v>0.95771098323664106</v>
      </c>
      <c r="C517" s="60">
        <v>9073.9020808083915</v>
      </c>
      <c r="D517" s="60">
        <v>9474.5724332643676</v>
      </c>
    </row>
    <row r="518" spans="1:4" x14ac:dyDescent="0.2">
      <c r="A518">
        <v>481</v>
      </c>
      <c r="B518" s="61">
        <v>0.73063122706615413</v>
      </c>
      <c r="C518" s="60">
        <v>6401.4792382402939</v>
      </c>
      <c r="D518" s="60">
        <v>8761.5735559858294</v>
      </c>
    </row>
    <row r="519" spans="1:4" x14ac:dyDescent="0.2">
      <c r="A519">
        <v>482</v>
      </c>
      <c r="B519" s="61">
        <v>0.94383069518996265</v>
      </c>
      <c r="C519" s="60">
        <v>6725.7688751576225</v>
      </c>
      <c r="D519" s="60">
        <v>7126.0332064152062</v>
      </c>
    </row>
    <row r="520" spans="1:4" x14ac:dyDescent="0.2">
      <c r="A520">
        <v>483</v>
      </c>
      <c r="B520" s="61">
        <v>0.86034042558587487</v>
      </c>
      <c r="C520" s="60">
        <v>8120.721401950208</v>
      </c>
      <c r="D520" s="60">
        <v>9438.9629505322355</v>
      </c>
    </row>
    <row r="521" spans="1:4" x14ac:dyDescent="0.2">
      <c r="A521">
        <v>484</v>
      </c>
      <c r="B521" s="61">
        <v>0.8111226368588822</v>
      </c>
      <c r="C521" s="60">
        <v>6538.3359599595242</v>
      </c>
      <c r="D521" s="60">
        <v>8060.8475991739006</v>
      </c>
    </row>
    <row r="522" spans="1:4" x14ac:dyDescent="0.2">
      <c r="A522">
        <v>485</v>
      </c>
      <c r="B522" s="61">
        <v>0.80672444441189128</v>
      </c>
      <c r="C522" s="60">
        <v>6707.6530818323863</v>
      </c>
      <c r="D522" s="60">
        <v>8314.6768742359363</v>
      </c>
    </row>
    <row r="523" spans="1:4" x14ac:dyDescent="0.2">
      <c r="A523">
        <v>486</v>
      </c>
      <c r="B523" s="61">
        <v>0.91569294693470393</v>
      </c>
      <c r="C523" s="60">
        <v>6223.1270571401028</v>
      </c>
      <c r="D523" s="60">
        <v>6796.0849518084806</v>
      </c>
    </row>
    <row r="524" spans="1:4" x14ac:dyDescent="0.2">
      <c r="A524">
        <v>487</v>
      </c>
      <c r="B524" s="61">
        <v>1.2288488667168718</v>
      </c>
      <c r="C524" s="60">
        <v>6350.3943306866295</v>
      </c>
      <c r="D524" s="60">
        <v>5167.7586257234734</v>
      </c>
    </row>
    <row r="525" spans="1:4" x14ac:dyDescent="0.2">
      <c r="A525">
        <v>488</v>
      </c>
      <c r="B525" s="61">
        <v>0.74343766371105779</v>
      </c>
      <c r="C525" s="60">
        <v>7820.5320558157564</v>
      </c>
      <c r="D525" s="60">
        <v>10519.41869178054</v>
      </c>
    </row>
    <row r="526" spans="1:4" x14ac:dyDescent="0.2">
      <c r="A526">
        <v>489</v>
      </c>
      <c r="B526" s="61">
        <v>0.74044943136179331</v>
      </c>
      <c r="C526" s="60">
        <v>6628.2597601353518</v>
      </c>
      <c r="D526" s="60">
        <v>8951.6710789351619</v>
      </c>
    </row>
    <row r="527" spans="1:4" x14ac:dyDescent="0.2">
      <c r="A527">
        <v>490</v>
      </c>
      <c r="B527" s="61">
        <v>0.81291627161171665</v>
      </c>
      <c r="C527" s="60">
        <v>5543.1675544911614</v>
      </c>
      <c r="D527" s="60">
        <v>6818.8665279156985</v>
      </c>
    </row>
    <row r="528" spans="1:4" x14ac:dyDescent="0.2">
      <c r="A528">
        <v>491</v>
      </c>
      <c r="B528" s="61">
        <v>0.81346653535525704</v>
      </c>
      <c r="C528" s="60">
        <v>6510.0947121157678</v>
      </c>
      <c r="D528" s="60">
        <v>8002.9041505348214</v>
      </c>
    </row>
    <row r="529" spans="1:4" x14ac:dyDescent="0.2">
      <c r="A529">
        <v>492</v>
      </c>
      <c r="B529" s="61">
        <v>0.87608320109816695</v>
      </c>
      <c r="C529" s="60">
        <v>6544.2843101415419</v>
      </c>
      <c r="D529" s="60">
        <v>7469.9347070441554</v>
      </c>
    </row>
    <row r="530" spans="1:4" x14ac:dyDescent="0.2">
      <c r="A530">
        <v>493</v>
      </c>
      <c r="B530" s="61">
        <v>0.88458641010191563</v>
      </c>
      <c r="C530" s="60">
        <v>6359.7524796507951</v>
      </c>
      <c r="D530" s="60">
        <v>7189.5208958931107</v>
      </c>
    </row>
    <row r="531" spans="1:4" x14ac:dyDescent="0.2">
      <c r="A531">
        <v>494</v>
      </c>
      <c r="B531" s="61">
        <v>0.90477787535948373</v>
      </c>
      <c r="C531" s="60">
        <v>7376.9799473583262</v>
      </c>
      <c r="D531" s="60">
        <v>8153.3602315676935</v>
      </c>
    </row>
    <row r="532" spans="1:4" x14ac:dyDescent="0.2">
      <c r="A532">
        <v>495</v>
      </c>
      <c r="B532" s="61">
        <v>0.59361297535970081</v>
      </c>
      <c r="C532" s="60">
        <v>7917.7242524651865</v>
      </c>
      <c r="D532" s="60">
        <v>13338.192696457532</v>
      </c>
    </row>
    <row r="533" spans="1:4" x14ac:dyDescent="0.2">
      <c r="A533">
        <v>496</v>
      </c>
      <c r="B533" s="62">
        <v>0.83906624078934122</v>
      </c>
      <c r="C533" s="63">
        <v>7984.2614111545445</v>
      </c>
      <c r="D533" s="63">
        <v>9515.6508783423924</v>
      </c>
    </row>
    <row r="534" spans="1:4" x14ac:dyDescent="0.2">
      <c r="A534">
        <v>497</v>
      </c>
      <c r="B534" s="61">
        <v>0.68796088193802696</v>
      </c>
      <c r="C534" s="60">
        <v>7376.7640194694604</v>
      </c>
      <c r="D534" s="60">
        <v>10722.650390656914</v>
      </c>
    </row>
    <row r="535" spans="1:4" x14ac:dyDescent="0.2">
      <c r="A535">
        <v>498</v>
      </c>
      <c r="B535" s="61">
        <v>0.84065681639920165</v>
      </c>
      <c r="C535" s="60">
        <v>5409.20874985726</v>
      </c>
      <c r="D535" s="60">
        <v>6434.5029319176965</v>
      </c>
    </row>
    <row r="536" spans="1:4" x14ac:dyDescent="0.2">
      <c r="A536">
        <v>499</v>
      </c>
      <c r="B536" s="61">
        <v>0.86485313573801292</v>
      </c>
      <c r="C536" s="60">
        <v>6144.3227017677063</v>
      </c>
      <c r="D536" s="60">
        <v>7104.4694733337774</v>
      </c>
    </row>
    <row r="537" spans="1:4" x14ac:dyDescent="0.2">
      <c r="A537">
        <v>500</v>
      </c>
      <c r="B537" s="61">
        <v>0.84346331621622461</v>
      </c>
      <c r="C537" s="60">
        <v>5259.4354705788901</v>
      </c>
      <c r="D537" s="60">
        <v>6235.5236670786244</v>
      </c>
    </row>
    <row r="538" spans="1:4" x14ac:dyDescent="0.2">
      <c r="A538">
        <v>501</v>
      </c>
      <c r="B538" s="61">
        <v>0.91689577272727618</v>
      </c>
      <c r="C538" s="60">
        <v>7601.6640564497802</v>
      </c>
      <c r="D538" s="60">
        <v>8290.6523102826413</v>
      </c>
    </row>
    <row r="539" spans="1:4" x14ac:dyDescent="0.2">
      <c r="A539">
        <v>502</v>
      </c>
      <c r="B539" s="61">
        <v>0.89830163567520671</v>
      </c>
      <c r="C539" s="60">
        <v>6841.4704062064175</v>
      </c>
      <c r="D539" s="60">
        <v>7616.0057318208483</v>
      </c>
    </row>
    <row r="540" spans="1:4" x14ac:dyDescent="0.2">
      <c r="A540">
        <v>503</v>
      </c>
      <c r="B540" s="61">
        <v>0.69487140263152902</v>
      </c>
      <c r="C540" s="60">
        <v>7086.5169388586783</v>
      </c>
      <c r="D540" s="60">
        <v>10198.314266526897</v>
      </c>
    </row>
    <row r="541" spans="1:4" x14ac:dyDescent="0.2">
      <c r="A541">
        <v>504</v>
      </c>
      <c r="B541" s="61">
        <v>0.66301103738601341</v>
      </c>
      <c r="C541" s="60">
        <v>6832.5896090008027</v>
      </c>
      <c r="D541" s="60">
        <v>10305.393460626181</v>
      </c>
    </row>
    <row r="542" spans="1:4" x14ac:dyDescent="0.2">
      <c r="A542">
        <v>505</v>
      </c>
      <c r="B542" s="61">
        <v>0.96122607302295382</v>
      </c>
      <c r="C542" s="60">
        <v>8557.9024688969403</v>
      </c>
      <c r="D542" s="60">
        <v>8903.1110464817575</v>
      </c>
    </row>
    <row r="543" spans="1:4" x14ac:dyDescent="0.2">
      <c r="A543">
        <v>506</v>
      </c>
      <c r="B543" s="62">
        <v>0.67604332285789503</v>
      </c>
      <c r="C543" s="63">
        <v>7933.7119486156389</v>
      </c>
      <c r="D543" s="63">
        <v>11735.508184707436</v>
      </c>
    </row>
    <row r="544" spans="1:4" x14ac:dyDescent="0.2">
      <c r="A544">
        <v>507</v>
      </c>
      <c r="B544" s="61">
        <v>0.82095521372384717</v>
      </c>
      <c r="C544" s="60">
        <v>7708.2955928440251</v>
      </c>
      <c r="D544" s="60">
        <v>9389.4227894348223</v>
      </c>
    </row>
    <row r="545" spans="1:4" x14ac:dyDescent="0.2">
      <c r="A545">
        <v>508</v>
      </c>
      <c r="B545" s="61">
        <v>0.80431513491058482</v>
      </c>
      <c r="C545" s="60">
        <v>5083.9456044375129</v>
      </c>
      <c r="D545" s="60">
        <v>6320.8379200805311</v>
      </c>
    </row>
    <row r="546" spans="1:4" x14ac:dyDescent="0.2">
      <c r="A546">
        <v>509</v>
      </c>
      <c r="B546" s="61">
        <v>0.99262978557472969</v>
      </c>
      <c r="C546" s="60">
        <v>7893.0166307275795</v>
      </c>
      <c r="D546" s="60">
        <v>7951.6217883362688</v>
      </c>
    </row>
    <row r="547" spans="1:4" x14ac:dyDescent="0.2">
      <c r="A547">
        <v>510</v>
      </c>
      <c r="B547" s="61">
        <v>0.97419781920258242</v>
      </c>
      <c r="C547" s="60">
        <v>7249.1676133339861</v>
      </c>
      <c r="D547" s="60">
        <v>7441.1659217916367</v>
      </c>
    </row>
    <row r="548" spans="1:4" x14ac:dyDescent="0.2">
      <c r="A548">
        <v>511</v>
      </c>
      <c r="B548" s="61">
        <v>1.0209831659887598</v>
      </c>
      <c r="C548" s="60">
        <v>6740.7407401542387</v>
      </c>
      <c r="D548" s="60">
        <v>6602.2055648941505</v>
      </c>
    </row>
    <row r="549" spans="1:4" x14ac:dyDescent="0.2">
      <c r="A549">
        <v>512</v>
      </c>
      <c r="B549" s="61">
        <v>0.90382719138401946</v>
      </c>
      <c r="C549" s="60">
        <v>7236.0618106095344</v>
      </c>
      <c r="D549" s="60">
        <v>8006.0235845848383</v>
      </c>
    </row>
    <row r="550" spans="1:4" x14ac:dyDescent="0.2">
      <c r="A550">
        <v>513</v>
      </c>
      <c r="B550" s="61">
        <v>0.88895992326258089</v>
      </c>
      <c r="C550" s="60">
        <v>6656.7214598256523</v>
      </c>
      <c r="D550" s="60">
        <v>7488.2132316997495</v>
      </c>
    </row>
    <row r="551" spans="1:4" x14ac:dyDescent="0.2">
      <c r="A551">
        <v>514</v>
      </c>
      <c r="B551" s="61">
        <v>0.7698467522144341</v>
      </c>
      <c r="C551" s="60">
        <v>6033.6176725997939</v>
      </c>
      <c r="D551" s="60">
        <v>7837.426936262741</v>
      </c>
    </row>
    <row r="552" spans="1:4" x14ac:dyDescent="0.2">
      <c r="A552">
        <v>515</v>
      </c>
      <c r="B552" s="61">
        <v>0.69163577947206356</v>
      </c>
      <c r="C552" s="60">
        <v>8358.2921395860885</v>
      </c>
      <c r="D552" s="60">
        <v>12084.817454016193</v>
      </c>
    </row>
    <row r="553" spans="1:4" x14ac:dyDescent="0.2">
      <c r="A553">
        <v>516</v>
      </c>
      <c r="B553" s="61">
        <v>0.76009840688815267</v>
      </c>
      <c r="C553" s="60">
        <v>8948.8297115284677</v>
      </c>
      <c r="D553" s="60">
        <v>11773.251503269201</v>
      </c>
    </row>
    <row r="554" spans="1:4" x14ac:dyDescent="0.2">
      <c r="A554">
        <v>517</v>
      </c>
      <c r="B554" s="61">
        <v>0.94460412910252689</v>
      </c>
      <c r="C554" s="60">
        <v>5858.572953517827</v>
      </c>
      <c r="D554" s="60">
        <v>6202.1462462630634</v>
      </c>
    </row>
    <row r="555" spans="1:4" x14ac:dyDescent="0.2">
      <c r="A555">
        <v>518</v>
      </c>
      <c r="B555" s="61">
        <v>0.76996487925441937</v>
      </c>
      <c r="C555" s="60">
        <v>7404.7977459590402</v>
      </c>
      <c r="D555" s="60">
        <v>9617.0590964218172</v>
      </c>
    </row>
    <row r="556" spans="1:4" x14ac:dyDescent="0.2">
      <c r="A556">
        <v>519</v>
      </c>
      <c r="B556" s="61">
        <v>0.87591598810906923</v>
      </c>
      <c r="C556" s="60">
        <v>6244.2527975679895</v>
      </c>
      <c r="D556" s="60">
        <v>7128.8261458134884</v>
      </c>
    </row>
    <row r="557" spans="1:4" x14ac:dyDescent="0.2">
      <c r="A557">
        <v>520</v>
      </c>
      <c r="B557" s="61">
        <v>0.8236309536258748</v>
      </c>
      <c r="C557" s="60">
        <v>7462.9778172781007</v>
      </c>
      <c r="D557" s="60">
        <v>9061.0701120736121</v>
      </c>
    </row>
    <row r="558" spans="1:4" x14ac:dyDescent="0.2">
      <c r="A558">
        <v>521</v>
      </c>
      <c r="B558" s="61">
        <v>0.9149749752801668</v>
      </c>
      <c r="C558" s="60">
        <v>7745.3416321509658</v>
      </c>
      <c r="D558" s="60">
        <v>8465.0857579786043</v>
      </c>
    </row>
    <row r="559" spans="1:4" x14ac:dyDescent="0.2">
      <c r="A559">
        <v>522</v>
      </c>
      <c r="B559" s="61">
        <v>0.9090557047324932</v>
      </c>
      <c r="C559" s="60">
        <v>6398.9965105030788</v>
      </c>
      <c r="D559" s="60">
        <v>7039.1687519150482</v>
      </c>
    </row>
    <row r="560" spans="1:4" x14ac:dyDescent="0.2">
      <c r="A560">
        <v>523</v>
      </c>
      <c r="B560" s="61">
        <v>1.0985344865544429</v>
      </c>
      <c r="C560" s="60">
        <v>7838.8025848205471</v>
      </c>
      <c r="D560" s="60">
        <v>7135.6909416717335</v>
      </c>
    </row>
    <row r="561" spans="1:4" x14ac:dyDescent="0.2">
      <c r="A561">
        <v>524</v>
      </c>
      <c r="B561" s="61">
        <v>0.59800613308523776</v>
      </c>
      <c r="C561" s="60">
        <v>6572.5046411978274</v>
      </c>
      <c r="D561" s="60">
        <v>10990.697716240655</v>
      </c>
    </row>
    <row r="562" spans="1:4" x14ac:dyDescent="0.2">
      <c r="A562">
        <v>525</v>
      </c>
      <c r="B562" s="61">
        <v>0.8770800935054881</v>
      </c>
      <c r="C562" s="60">
        <v>6176.552865793984</v>
      </c>
      <c r="D562" s="60">
        <v>7042.1765486749537</v>
      </c>
    </row>
    <row r="563" spans="1:4" x14ac:dyDescent="0.2">
      <c r="A563">
        <v>526</v>
      </c>
      <c r="B563" s="61">
        <v>0.90954957708767648</v>
      </c>
      <c r="C563" s="60">
        <v>6586.6308058863851</v>
      </c>
      <c r="D563" s="60">
        <v>7241.6402269971741</v>
      </c>
    </row>
    <row r="564" spans="1:4" x14ac:dyDescent="0.2">
      <c r="A564">
        <v>527</v>
      </c>
      <c r="B564" s="61">
        <v>0.93501324282442511</v>
      </c>
      <c r="C564" s="60">
        <v>5161.1746986821854</v>
      </c>
      <c r="D564" s="60">
        <v>5519.8947590214402</v>
      </c>
    </row>
    <row r="565" spans="1:4" x14ac:dyDescent="0.2">
      <c r="A565">
        <v>528</v>
      </c>
      <c r="B565" s="61">
        <v>0.9137341392591054</v>
      </c>
      <c r="C565" s="60">
        <v>5678.1258225023585</v>
      </c>
      <c r="D565" s="60">
        <v>6214.1990525892188</v>
      </c>
    </row>
    <row r="566" spans="1:4" x14ac:dyDescent="0.2">
      <c r="A566">
        <v>529</v>
      </c>
      <c r="B566" s="61">
        <v>1.0564542673717279</v>
      </c>
      <c r="C566" s="60">
        <v>7233.8261218771422</v>
      </c>
      <c r="D566" s="60">
        <v>6847.2685901242348</v>
      </c>
    </row>
    <row r="567" spans="1:4" x14ac:dyDescent="0.2">
      <c r="A567">
        <v>530</v>
      </c>
      <c r="B567" s="61">
        <v>0.63456779875881786</v>
      </c>
      <c r="C567" s="60">
        <v>7352.9274564882671</v>
      </c>
      <c r="D567" s="60">
        <v>11587.300003041782</v>
      </c>
    </row>
    <row r="568" spans="1:4" x14ac:dyDescent="0.2">
      <c r="A568">
        <v>531</v>
      </c>
      <c r="B568" s="61">
        <v>0.87425633711125084</v>
      </c>
      <c r="C568" s="60">
        <v>6700.9710148171143</v>
      </c>
      <c r="D568" s="60">
        <v>7664.7668771366343</v>
      </c>
    </row>
    <row r="569" spans="1:4" x14ac:dyDescent="0.2">
      <c r="A569">
        <v>532</v>
      </c>
      <c r="B569" s="61">
        <v>0.93971203330740138</v>
      </c>
      <c r="C569" s="60">
        <v>6965.8959224373903</v>
      </c>
      <c r="D569" s="60">
        <v>7412.7984696761732</v>
      </c>
    </row>
    <row r="570" spans="1:4" x14ac:dyDescent="0.2">
      <c r="A570">
        <v>533</v>
      </c>
      <c r="B570" s="61">
        <v>0.84801653847250513</v>
      </c>
      <c r="C570" s="60">
        <v>7472.7504531806462</v>
      </c>
      <c r="D570" s="60">
        <v>8812.0338627369019</v>
      </c>
    </row>
    <row r="571" spans="1:4" x14ac:dyDescent="0.2">
      <c r="A571">
        <v>534</v>
      </c>
      <c r="B571" s="61">
        <v>0.57265379764456625</v>
      </c>
      <c r="C571" s="60">
        <v>7387.4196932528848</v>
      </c>
      <c r="D571" s="60">
        <v>12900.324286049869</v>
      </c>
    </row>
    <row r="572" spans="1:4" x14ac:dyDescent="0.2">
      <c r="A572">
        <v>535</v>
      </c>
      <c r="B572" s="61">
        <v>0.8102950580403725</v>
      </c>
      <c r="C572" s="60">
        <v>7152.655236621762</v>
      </c>
      <c r="D572" s="60">
        <v>8827.2230783683062</v>
      </c>
    </row>
    <row r="573" spans="1:4" x14ac:dyDescent="0.2">
      <c r="A573">
        <v>536</v>
      </c>
      <c r="B573" s="61">
        <v>0.88929684956804067</v>
      </c>
      <c r="C573" s="60">
        <v>5562.4478176943121</v>
      </c>
      <c r="D573" s="60">
        <v>6254.8830802629818</v>
      </c>
    </row>
    <row r="574" spans="1:4" x14ac:dyDescent="0.2">
      <c r="A574">
        <v>537</v>
      </c>
      <c r="B574" s="61">
        <v>0.53076767705674932</v>
      </c>
      <c r="C574" s="60">
        <v>7891.7262378567584</v>
      </c>
      <c r="D574" s="60">
        <v>14868.513247864905</v>
      </c>
    </row>
    <row r="575" spans="1:4" x14ac:dyDescent="0.2">
      <c r="A575">
        <v>538</v>
      </c>
      <c r="B575" s="61">
        <v>1.1775688685403409</v>
      </c>
      <c r="C575" s="60">
        <v>7148.7892158364684</v>
      </c>
      <c r="D575" s="60">
        <v>6070.8035061234013</v>
      </c>
    </row>
    <row r="576" spans="1:4" x14ac:dyDescent="0.2">
      <c r="A576">
        <v>539</v>
      </c>
      <c r="B576" s="61">
        <v>0.79942899903245657</v>
      </c>
      <c r="C576" s="60">
        <v>7942.2104460218052</v>
      </c>
      <c r="D576" s="60">
        <v>9934.8540716363914</v>
      </c>
    </row>
    <row r="577" spans="1:4" x14ac:dyDescent="0.2">
      <c r="A577">
        <v>540</v>
      </c>
      <c r="B577" s="61">
        <v>0.73568696387973986</v>
      </c>
      <c r="C577" s="60">
        <v>6525.8119086475126</v>
      </c>
      <c r="D577" s="60">
        <v>8870.3650180680161</v>
      </c>
    </row>
    <row r="578" spans="1:4" x14ac:dyDescent="0.2">
      <c r="A578">
        <v>541</v>
      </c>
      <c r="B578" s="61">
        <v>1.1982015790297513</v>
      </c>
      <c r="C578" s="60">
        <v>6235.3405149723085</v>
      </c>
      <c r="D578" s="60">
        <v>5203.9161223785077</v>
      </c>
    </row>
    <row r="579" spans="1:4" x14ac:dyDescent="0.2">
      <c r="A579">
        <v>542</v>
      </c>
      <c r="B579" s="61">
        <v>1.0223438294420202</v>
      </c>
      <c r="C579" s="60">
        <v>6364.3944922630944</v>
      </c>
      <c r="D579" s="60">
        <v>6225.2975065508881</v>
      </c>
    </row>
    <row r="580" spans="1:4" x14ac:dyDescent="0.2">
      <c r="A580">
        <v>543</v>
      </c>
      <c r="B580" s="61">
        <v>0.79708069697021244</v>
      </c>
      <c r="C580" s="60">
        <v>8992.5651256012752</v>
      </c>
      <c r="D580" s="60">
        <v>11281.875423383053</v>
      </c>
    </row>
    <row r="581" spans="1:4" x14ac:dyDescent="0.2">
      <c r="A581">
        <v>544</v>
      </c>
      <c r="B581" s="61">
        <v>1.0534939275532826</v>
      </c>
      <c r="C581" s="60">
        <v>7549.3213468559534</v>
      </c>
      <c r="D581" s="60">
        <v>7165.9846814581006</v>
      </c>
    </row>
    <row r="582" spans="1:4" x14ac:dyDescent="0.2">
      <c r="A582">
        <v>545</v>
      </c>
      <c r="B582" s="61">
        <v>0.79576483543157472</v>
      </c>
      <c r="C582" s="60">
        <v>5801.8986146922398</v>
      </c>
      <c r="D582" s="60">
        <v>7290.9713477671339</v>
      </c>
    </row>
    <row r="583" spans="1:4" x14ac:dyDescent="0.2">
      <c r="A583">
        <v>546</v>
      </c>
      <c r="B583" s="61">
        <v>0.96141926168161351</v>
      </c>
      <c r="C583" s="60">
        <v>6523.6628085264929</v>
      </c>
      <c r="D583" s="60">
        <v>6785.4504985847561</v>
      </c>
    </row>
    <row r="584" spans="1:4" x14ac:dyDescent="0.2">
      <c r="A584">
        <v>547</v>
      </c>
      <c r="B584" s="61">
        <v>0.8794633525369342</v>
      </c>
      <c r="C584" s="60">
        <v>6034.2046173060507</v>
      </c>
      <c r="D584" s="60">
        <v>6861.2348654432835</v>
      </c>
    </row>
    <row r="585" spans="1:4" x14ac:dyDescent="0.2">
      <c r="A585">
        <v>548</v>
      </c>
      <c r="B585" s="61">
        <v>0.81355954941887809</v>
      </c>
      <c r="C585" s="60">
        <v>6582.6438628640171</v>
      </c>
      <c r="D585" s="60">
        <v>8091.1641533382162</v>
      </c>
    </row>
    <row r="586" spans="1:4" x14ac:dyDescent="0.2">
      <c r="A586">
        <v>549</v>
      </c>
      <c r="B586" s="61">
        <v>0.93258305647485962</v>
      </c>
      <c r="C586" s="60">
        <v>8328.2758896106225</v>
      </c>
      <c r="D586" s="60">
        <v>8930.3315471881888</v>
      </c>
    </row>
    <row r="587" spans="1:4" x14ac:dyDescent="0.2">
      <c r="A587">
        <v>550</v>
      </c>
      <c r="B587" s="61">
        <v>0.57599994568453727</v>
      </c>
      <c r="C587" s="60">
        <v>8196.975198972712</v>
      </c>
      <c r="D587" s="60">
        <v>14230.861062375896</v>
      </c>
    </row>
    <row r="588" spans="1:4" x14ac:dyDescent="0.2">
      <c r="A588">
        <v>551</v>
      </c>
      <c r="B588" s="61">
        <v>0.79231939004799301</v>
      </c>
      <c r="C588" s="60">
        <v>6598.1220212595472</v>
      </c>
      <c r="D588" s="60">
        <v>8327.6038730541241</v>
      </c>
    </row>
    <row r="589" spans="1:4" x14ac:dyDescent="0.2">
      <c r="A589">
        <v>552</v>
      </c>
      <c r="B589" s="61">
        <v>0.97998087150715474</v>
      </c>
      <c r="C589" s="60">
        <v>6218.3629845139567</v>
      </c>
      <c r="D589" s="60">
        <v>6345.3922064320186</v>
      </c>
    </row>
    <row r="590" spans="1:4" x14ac:dyDescent="0.2">
      <c r="A590">
        <v>553</v>
      </c>
      <c r="B590" s="61">
        <v>0.85890473145189539</v>
      </c>
      <c r="C590" s="60">
        <v>7101.3647715286588</v>
      </c>
      <c r="D590" s="60">
        <v>8267.9306697082557</v>
      </c>
    </row>
    <row r="591" spans="1:4" x14ac:dyDescent="0.2">
      <c r="A591">
        <v>554</v>
      </c>
      <c r="B591" s="61">
        <v>0.65393398333659203</v>
      </c>
      <c r="C591" s="60">
        <v>9948.2634908945838</v>
      </c>
      <c r="D591" s="60">
        <v>15212.947704805283</v>
      </c>
    </row>
    <row r="592" spans="1:4" x14ac:dyDescent="0.2">
      <c r="A592">
        <v>555</v>
      </c>
      <c r="B592" s="61">
        <v>0.69635713998456694</v>
      </c>
      <c r="C592" s="60">
        <v>6312.5737879839035</v>
      </c>
      <c r="D592" s="60">
        <v>9065.1383112461608</v>
      </c>
    </row>
    <row r="593" spans="1:4" x14ac:dyDescent="0.2">
      <c r="A593">
        <v>556</v>
      </c>
      <c r="B593" s="61">
        <v>0.9014060287256207</v>
      </c>
      <c r="C593" s="60">
        <v>8677.9176331247181</v>
      </c>
      <c r="D593" s="60">
        <v>9627.0907411095122</v>
      </c>
    </row>
    <row r="594" spans="1:4" x14ac:dyDescent="0.2">
      <c r="A594">
        <v>557</v>
      </c>
      <c r="B594" s="61">
        <v>0.92751199894682124</v>
      </c>
      <c r="C594" s="60">
        <v>8096.4208027938985</v>
      </c>
      <c r="D594" s="60">
        <v>8729.1817377966945</v>
      </c>
    </row>
    <row r="595" spans="1:4" x14ac:dyDescent="0.2">
      <c r="A595">
        <v>558</v>
      </c>
      <c r="B595" s="61">
        <v>0.74725495346107262</v>
      </c>
      <c r="C595" s="60">
        <v>7476.9954899205804</v>
      </c>
      <c r="D595" s="60">
        <v>10005.949716745619</v>
      </c>
    </row>
    <row r="596" spans="1:4" x14ac:dyDescent="0.2">
      <c r="A596">
        <v>559</v>
      </c>
      <c r="B596" s="61">
        <v>0.80929465974067405</v>
      </c>
      <c r="C596" s="60">
        <v>6191.7435720396152</v>
      </c>
      <c r="D596" s="60">
        <v>7650.7901016221504</v>
      </c>
    </row>
    <row r="597" spans="1:4" x14ac:dyDescent="0.2">
      <c r="A597">
        <v>560</v>
      </c>
      <c r="B597" s="61">
        <v>0.58369191986058944</v>
      </c>
      <c r="C597" s="60">
        <v>7013.8690607612043</v>
      </c>
      <c r="D597" s="60">
        <v>12016.388821069197</v>
      </c>
    </row>
    <row r="598" spans="1:4" x14ac:dyDescent="0.2">
      <c r="A598">
        <v>561</v>
      </c>
      <c r="B598" s="61">
        <v>0.60288141305212051</v>
      </c>
      <c r="C598" s="60">
        <v>9513.4891948208406</v>
      </c>
      <c r="D598" s="60">
        <v>15780.033998159397</v>
      </c>
    </row>
    <row r="599" spans="1:4" x14ac:dyDescent="0.2">
      <c r="A599">
        <v>562</v>
      </c>
      <c r="B599" s="61">
        <v>0.62474265439171539</v>
      </c>
      <c r="C599" s="60">
        <v>9826.7478922513292</v>
      </c>
      <c r="D599" s="60">
        <v>15729.273202610448</v>
      </c>
    </row>
    <row r="600" spans="1:4" x14ac:dyDescent="0.2">
      <c r="A600">
        <v>563</v>
      </c>
      <c r="B600" s="61">
        <v>0.71053856502075341</v>
      </c>
      <c r="C600" s="60">
        <v>5661.2731121824909</v>
      </c>
      <c r="D600" s="60">
        <v>7967.580355074937</v>
      </c>
    </row>
    <row r="601" spans="1:4" x14ac:dyDescent="0.2">
      <c r="A601">
        <v>564</v>
      </c>
      <c r="B601" s="61">
        <v>0.88449478068991283</v>
      </c>
      <c r="C601" s="60">
        <v>7587.4647631548942</v>
      </c>
      <c r="D601" s="60">
        <v>8578.3036020140353</v>
      </c>
    </row>
    <row r="602" spans="1:4" x14ac:dyDescent="0.2">
      <c r="A602">
        <v>565</v>
      </c>
      <c r="B602" s="61">
        <v>0.72792262375198291</v>
      </c>
      <c r="C602" s="60">
        <v>6729.3010323881263</v>
      </c>
      <c r="D602" s="60">
        <v>9244.5279385641497</v>
      </c>
    </row>
    <row r="603" spans="1:4" x14ac:dyDescent="0.2">
      <c r="A603">
        <v>566</v>
      </c>
      <c r="B603" s="61">
        <v>1.0305271773496383</v>
      </c>
      <c r="C603" s="60">
        <v>7417.1729729217386</v>
      </c>
      <c r="D603" s="60">
        <v>7197.4549880359273</v>
      </c>
    </row>
    <row r="604" spans="1:4" x14ac:dyDescent="0.2">
      <c r="A604">
        <v>567</v>
      </c>
      <c r="B604" s="61">
        <v>0.70392464194242521</v>
      </c>
      <c r="C604" s="60">
        <v>6086.0700903935794</v>
      </c>
      <c r="D604" s="60">
        <v>8645.9114055157133</v>
      </c>
    </row>
    <row r="605" spans="1:4" x14ac:dyDescent="0.2">
      <c r="A605">
        <v>568</v>
      </c>
      <c r="B605" s="61">
        <v>0.91003970385866673</v>
      </c>
      <c r="C605" s="60">
        <v>7396.9240979341112</v>
      </c>
      <c r="D605" s="60">
        <v>8128.1333842582399</v>
      </c>
    </row>
    <row r="606" spans="1:4" x14ac:dyDescent="0.2">
      <c r="A606">
        <v>569</v>
      </c>
      <c r="B606" s="61">
        <v>0.74193061823706774</v>
      </c>
      <c r="C606" s="60">
        <v>7602.7147732383874</v>
      </c>
      <c r="D606" s="60">
        <v>10247.204504517571</v>
      </c>
    </row>
    <row r="607" spans="1:4" x14ac:dyDescent="0.2">
      <c r="A607">
        <v>570</v>
      </c>
      <c r="B607" s="61">
        <v>0.89265438100508021</v>
      </c>
      <c r="C607" s="60">
        <v>6454.8901134554253</v>
      </c>
      <c r="D607" s="60">
        <v>7231.1190655756045</v>
      </c>
    </row>
    <row r="608" spans="1:4" x14ac:dyDescent="0.2">
      <c r="A608">
        <v>571</v>
      </c>
      <c r="B608" s="61">
        <v>1.051914112601521</v>
      </c>
      <c r="C608" s="60">
        <v>7816.6763838174193</v>
      </c>
      <c r="D608" s="60">
        <v>7430.9074193193946</v>
      </c>
    </row>
    <row r="609" spans="1:4" x14ac:dyDescent="0.2">
      <c r="A609">
        <v>572</v>
      </c>
      <c r="B609" s="61">
        <v>0.90025460938595359</v>
      </c>
      <c r="C609" s="60">
        <v>8265.4821491524799</v>
      </c>
      <c r="D609" s="60">
        <v>9181.2716791199837</v>
      </c>
    </row>
    <row r="610" spans="1:4" x14ac:dyDescent="0.2">
      <c r="A610">
        <v>573</v>
      </c>
      <c r="B610" s="61">
        <v>0.86210498733229102</v>
      </c>
      <c r="C610" s="60">
        <v>7077.9822081403254</v>
      </c>
      <c r="D610" s="60">
        <v>8210.1162992253721</v>
      </c>
    </row>
    <row r="611" spans="1:4" x14ac:dyDescent="0.2">
      <c r="A611">
        <v>574</v>
      </c>
      <c r="B611" s="61">
        <v>0.81223230359477583</v>
      </c>
      <c r="C611" s="60">
        <v>6513.3637677063989</v>
      </c>
      <c r="D611" s="60">
        <v>8019.089783648802</v>
      </c>
    </row>
    <row r="612" spans="1:4" x14ac:dyDescent="0.2">
      <c r="A612">
        <v>575</v>
      </c>
      <c r="B612" s="61">
        <v>0.95844175232226902</v>
      </c>
      <c r="C612" s="60">
        <v>6213.9571663861443</v>
      </c>
      <c r="D612" s="60">
        <v>6483.3957320097497</v>
      </c>
    </row>
    <row r="613" spans="1:4" x14ac:dyDescent="0.2">
      <c r="A613">
        <v>576</v>
      </c>
      <c r="B613" s="61">
        <v>0.72247036603307979</v>
      </c>
      <c r="C613" s="60">
        <v>6898.5094332277768</v>
      </c>
      <c r="D613" s="60">
        <v>9548.5015822945388</v>
      </c>
    </row>
    <row r="614" spans="1:4" x14ac:dyDescent="0.2">
      <c r="A614">
        <v>577</v>
      </c>
      <c r="B614" s="61">
        <v>0.685244175064053</v>
      </c>
      <c r="C614" s="60">
        <v>6944.3475278473088</v>
      </c>
      <c r="D614" s="60">
        <v>10134.121208981</v>
      </c>
    </row>
    <row r="615" spans="1:4" x14ac:dyDescent="0.2">
      <c r="A615">
        <v>578</v>
      </c>
      <c r="B615" s="61">
        <v>0.98959107484690279</v>
      </c>
      <c r="C615" s="60">
        <v>7523.5001004850747</v>
      </c>
      <c r="D615" s="60">
        <v>7602.635362944251</v>
      </c>
    </row>
    <row r="616" spans="1:4" x14ac:dyDescent="0.2">
      <c r="A616">
        <v>579</v>
      </c>
      <c r="B616" s="62">
        <v>0.92446789180011546</v>
      </c>
      <c r="C616" s="63">
        <v>7910.1741512577373</v>
      </c>
      <c r="D616" s="63">
        <v>8556.4617456373944</v>
      </c>
    </row>
    <row r="617" spans="1:4" x14ac:dyDescent="0.2">
      <c r="A617">
        <v>580</v>
      </c>
      <c r="B617" s="61">
        <v>0.6184429309728916</v>
      </c>
      <c r="C617" s="60">
        <v>8864.824331794207</v>
      </c>
      <c r="D617" s="60">
        <v>14334.102449596568</v>
      </c>
    </row>
    <row r="618" spans="1:4" x14ac:dyDescent="0.2">
      <c r="A618">
        <v>581</v>
      </c>
      <c r="B618" s="61">
        <v>0.86270558100260786</v>
      </c>
      <c r="C618" s="60">
        <v>6168.5371444851808</v>
      </c>
      <c r="D618" s="60">
        <v>7150.2228342099179</v>
      </c>
    </row>
    <row r="619" spans="1:4" x14ac:dyDescent="0.2">
      <c r="A619">
        <v>582</v>
      </c>
      <c r="B619" s="61">
        <v>1.0508872226240138</v>
      </c>
      <c r="C619" s="60">
        <v>5917.9046585329706</v>
      </c>
      <c r="D619" s="60">
        <v>5631.3413381849414</v>
      </c>
    </row>
    <row r="620" spans="1:4" x14ac:dyDescent="0.2">
      <c r="A620">
        <v>583</v>
      </c>
      <c r="B620" s="61">
        <v>0.9342624634933836</v>
      </c>
      <c r="C620" s="60">
        <v>6200.9230327569585</v>
      </c>
      <c r="D620" s="60">
        <v>6637.2387579080696</v>
      </c>
    </row>
    <row r="621" spans="1:4" x14ac:dyDescent="0.2">
      <c r="A621">
        <v>584</v>
      </c>
      <c r="B621" s="61">
        <v>0.71256419980343999</v>
      </c>
      <c r="C621" s="60">
        <v>6354.407538359661</v>
      </c>
      <c r="D621" s="60">
        <v>8917.6631945760346</v>
      </c>
    </row>
    <row r="622" spans="1:4" x14ac:dyDescent="0.2">
      <c r="A622">
        <v>585</v>
      </c>
      <c r="B622" s="61">
        <v>1.039239784237223</v>
      </c>
      <c r="C622" s="60">
        <v>6611.2239811502623</v>
      </c>
      <c r="D622" s="60">
        <v>6361.5963143700683</v>
      </c>
    </row>
    <row r="623" spans="1:4" x14ac:dyDescent="0.2">
      <c r="A623">
        <v>586</v>
      </c>
      <c r="B623" s="61">
        <v>1.0008895804332729</v>
      </c>
      <c r="C623" s="60">
        <v>6268.9325119452405</v>
      </c>
      <c r="D623" s="60">
        <v>6263.3607487765994</v>
      </c>
    </row>
    <row r="624" spans="1:4" x14ac:dyDescent="0.2">
      <c r="A624">
        <v>587</v>
      </c>
      <c r="B624" s="61">
        <v>0.84189712250348503</v>
      </c>
      <c r="C624" s="60">
        <v>6313.354923648023</v>
      </c>
      <c r="D624" s="60">
        <v>7498.9624680916868</v>
      </c>
    </row>
    <row r="625" spans="1:4" x14ac:dyDescent="0.2">
      <c r="A625">
        <v>588</v>
      </c>
      <c r="B625" s="61">
        <v>0.82016438830390648</v>
      </c>
      <c r="C625" s="60">
        <v>8537.7356734698315</v>
      </c>
      <c r="D625" s="60">
        <v>10409.785885882953</v>
      </c>
    </row>
    <row r="626" spans="1:4" x14ac:dyDescent="0.2">
      <c r="A626">
        <v>589</v>
      </c>
      <c r="B626" s="61">
        <v>0.86361405201389729</v>
      </c>
      <c r="C626" s="60">
        <v>6128.2334349726571</v>
      </c>
      <c r="D626" s="60">
        <v>7096.0325630204561</v>
      </c>
    </row>
    <row r="627" spans="1:4" x14ac:dyDescent="0.2">
      <c r="A627">
        <v>590</v>
      </c>
      <c r="B627" s="61">
        <v>0.90263307597183662</v>
      </c>
      <c r="C627" s="60">
        <v>4629.431865144421</v>
      </c>
      <c r="D627" s="60">
        <v>5128.8081374151479</v>
      </c>
    </row>
    <row r="628" spans="1:4" x14ac:dyDescent="0.2">
      <c r="A628">
        <v>591</v>
      </c>
      <c r="B628" s="61">
        <v>0.8056508397276021</v>
      </c>
      <c r="C628" s="60">
        <v>6350.4930214529777</v>
      </c>
      <c r="D628" s="60">
        <v>7882.4382825693292</v>
      </c>
    </row>
    <row r="629" spans="1:4" x14ac:dyDescent="0.2">
      <c r="A629">
        <v>592</v>
      </c>
      <c r="B629" s="61">
        <v>0.78331966982434764</v>
      </c>
      <c r="C629" s="60">
        <v>6810.4086132249067</v>
      </c>
      <c r="D629" s="60">
        <v>8694.2903077514693</v>
      </c>
    </row>
    <row r="630" spans="1:4" x14ac:dyDescent="0.2">
      <c r="A630">
        <v>593</v>
      </c>
      <c r="B630" s="61">
        <v>0.49730712945122058</v>
      </c>
      <c r="C630" s="60">
        <v>7390.4902048744698</v>
      </c>
      <c r="D630" s="60">
        <v>14861.01800517095</v>
      </c>
    </row>
    <row r="631" spans="1:4" x14ac:dyDescent="0.2">
      <c r="A631">
        <v>594</v>
      </c>
      <c r="B631" s="61">
        <v>0.91178077709418837</v>
      </c>
      <c r="C631" s="60">
        <v>6730.8800320330101</v>
      </c>
      <c r="D631" s="60">
        <v>7382.1253980414858</v>
      </c>
    </row>
    <row r="632" spans="1:4" x14ac:dyDescent="0.2">
      <c r="A632">
        <v>595</v>
      </c>
      <c r="B632" s="61">
        <v>0.87781946018894175</v>
      </c>
      <c r="C632" s="60">
        <v>8243.2085653487757</v>
      </c>
      <c r="D632" s="60">
        <v>9390.5511773166982</v>
      </c>
    </row>
    <row r="633" spans="1:4" x14ac:dyDescent="0.2">
      <c r="A633">
        <v>596</v>
      </c>
      <c r="B633" s="61">
        <v>0.73808114198908825</v>
      </c>
      <c r="C633" s="60">
        <v>7542.348099559058</v>
      </c>
      <c r="D633" s="60">
        <v>10218.860326430835</v>
      </c>
    </row>
    <row r="634" spans="1:4" x14ac:dyDescent="0.2">
      <c r="A634">
        <v>597</v>
      </c>
      <c r="B634" s="61">
        <v>0.75469806023538322</v>
      </c>
      <c r="C634" s="60">
        <v>6031.1203766907547</v>
      </c>
      <c r="D634" s="60">
        <v>7991.4348458901632</v>
      </c>
    </row>
    <row r="635" spans="1:4" x14ac:dyDescent="0.2">
      <c r="A635">
        <v>598</v>
      </c>
      <c r="B635" s="61">
        <v>0.60982952171783644</v>
      </c>
      <c r="C635" s="60">
        <v>7766.4080852484876</v>
      </c>
      <c r="D635" s="60">
        <v>12735.37572167906</v>
      </c>
    </row>
    <row r="636" spans="1:4" x14ac:dyDescent="0.2">
      <c r="A636">
        <v>599</v>
      </c>
      <c r="B636" s="61">
        <v>0.93320558346128557</v>
      </c>
      <c r="C636" s="60">
        <v>6808.6755247835608</v>
      </c>
      <c r="D636" s="60">
        <v>7296.0081309522311</v>
      </c>
    </row>
    <row r="637" spans="1:4" x14ac:dyDescent="0.2">
      <c r="A637">
        <v>600</v>
      </c>
      <c r="B637" s="61">
        <v>0.75947675278931914</v>
      </c>
      <c r="C637" s="60">
        <v>6449.7545065454651</v>
      </c>
      <c r="D637" s="60">
        <v>8492.3659385985757</v>
      </c>
    </row>
    <row r="638" spans="1:4" x14ac:dyDescent="0.2">
      <c r="A638">
        <v>601</v>
      </c>
      <c r="B638" s="61">
        <v>0.84616101739314509</v>
      </c>
      <c r="C638" s="60">
        <v>8593.1611655574579</v>
      </c>
      <c r="D638" s="60">
        <v>10155.468036132519</v>
      </c>
    </row>
    <row r="639" spans="1:4" x14ac:dyDescent="0.2">
      <c r="A639">
        <v>602</v>
      </c>
      <c r="B639" s="61">
        <v>0.91988407015352891</v>
      </c>
      <c r="C639" s="60">
        <v>7509.0122846285267</v>
      </c>
      <c r="D639" s="60">
        <v>8162.9984997732054</v>
      </c>
    </row>
    <row r="640" spans="1:4" x14ac:dyDescent="0.2">
      <c r="A640">
        <v>603</v>
      </c>
      <c r="B640" s="61">
        <v>0.62978011094035224</v>
      </c>
      <c r="C640" s="60">
        <v>7187.9850512115099</v>
      </c>
      <c r="D640" s="60">
        <v>11413.483732407514</v>
      </c>
    </row>
    <row r="641" spans="1:4" x14ac:dyDescent="0.2">
      <c r="A641">
        <v>604</v>
      </c>
      <c r="B641" s="61">
        <v>0.83438480401958159</v>
      </c>
      <c r="C641" s="60">
        <v>7190.8314894373398</v>
      </c>
      <c r="D641" s="60">
        <v>8618.1237419426725</v>
      </c>
    </row>
    <row r="642" spans="1:4" x14ac:dyDescent="0.2">
      <c r="A642">
        <v>605</v>
      </c>
      <c r="B642" s="61">
        <v>0.76078350040536691</v>
      </c>
      <c r="C642" s="60">
        <v>5753.0171745445714</v>
      </c>
      <c r="D642" s="60">
        <v>7561.9636486322343</v>
      </c>
    </row>
    <row r="643" spans="1:4" x14ac:dyDescent="0.2">
      <c r="A643">
        <v>606</v>
      </c>
      <c r="B643" s="61">
        <v>1.2088519417605301</v>
      </c>
      <c r="C643" s="60">
        <v>6879.8883465490499</v>
      </c>
      <c r="D643" s="60">
        <v>5691.2580514445954</v>
      </c>
    </row>
    <row r="644" spans="1:4" x14ac:dyDescent="0.2">
      <c r="A644">
        <v>607</v>
      </c>
      <c r="B644" s="61">
        <v>0.8278262503497027</v>
      </c>
      <c r="C644" s="60">
        <v>8240.2539295297393</v>
      </c>
      <c r="D644" s="60">
        <v>9954.0862905093527</v>
      </c>
    </row>
    <row r="645" spans="1:4" x14ac:dyDescent="0.2">
      <c r="A645">
        <v>608</v>
      </c>
      <c r="B645" s="61">
        <v>0.55583926066532818</v>
      </c>
      <c r="C645" s="60">
        <v>7584.2278641127195</v>
      </c>
      <c r="D645" s="60">
        <v>13644.642256890156</v>
      </c>
    </row>
    <row r="646" spans="1:4" x14ac:dyDescent="0.2">
      <c r="A646">
        <v>609</v>
      </c>
      <c r="B646" s="61">
        <v>1.087739915203338</v>
      </c>
      <c r="C646" s="60">
        <v>7835.7317306544792</v>
      </c>
      <c r="D646" s="60">
        <v>7203.6813406720457</v>
      </c>
    </row>
    <row r="647" spans="1:4" x14ac:dyDescent="0.2">
      <c r="A647">
        <v>610</v>
      </c>
      <c r="B647" s="61">
        <v>0.76763419240626707</v>
      </c>
      <c r="C647" s="60">
        <v>6050.6364666838472</v>
      </c>
      <c r="D647" s="60">
        <v>7882.1872794868605</v>
      </c>
    </row>
    <row r="648" spans="1:4" x14ac:dyDescent="0.2">
      <c r="A648">
        <v>611</v>
      </c>
      <c r="B648" s="61">
        <v>0.8408633881185148</v>
      </c>
      <c r="C648" s="60">
        <v>8159.7007711137649</v>
      </c>
      <c r="D648" s="60">
        <v>9703.95534686272</v>
      </c>
    </row>
    <row r="649" spans="1:4" x14ac:dyDescent="0.2">
      <c r="A649">
        <v>612</v>
      </c>
      <c r="B649" s="62">
        <v>0.79788304909718732</v>
      </c>
      <c r="C649" s="63">
        <v>6583.2113270403952</v>
      </c>
      <c r="D649" s="63">
        <v>8250.8474575181972</v>
      </c>
    </row>
    <row r="650" spans="1:4" x14ac:dyDescent="0.2">
      <c r="A650">
        <v>613</v>
      </c>
      <c r="B650" s="61">
        <v>0.69825906140722704</v>
      </c>
      <c r="C650" s="60">
        <v>7060.8841064950302</v>
      </c>
      <c r="D650" s="60">
        <v>10112.126711631887</v>
      </c>
    </row>
    <row r="651" spans="1:4" x14ac:dyDescent="0.2">
      <c r="A651">
        <v>614</v>
      </c>
      <c r="B651" s="61">
        <v>0.82185366455075393</v>
      </c>
      <c r="C651" s="60">
        <v>5970.1031374632639</v>
      </c>
      <c r="D651" s="60">
        <v>7264.1923921172438</v>
      </c>
    </row>
    <row r="652" spans="1:4" x14ac:dyDescent="0.2">
      <c r="A652">
        <v>615</v>
      </c>
      <c r="B652" s="61">
        <v>0.7877047416190246</v>
      </c>
      <c r="C652" s="60">
        <v>8631.700989436993</v>
      </c>
      <c r="D652" s="60">
        <v>10958.041171233343</v>
      </c>
    </row>
    <row r="653" spans="1:4" x14ac:dyDescent="0.2">
      <c r="A653">
        <v>616</v>
      </c>
      <c r="B653" s="61">
        <v>0.97842622219045516</v>
      </c>
      <c r="C653" s="60">
        <v>7919.2217273953647</v>
      </c>
      <c r="D653" s="60">
        <v>8093.8363545349175</v>
      </c>
    </row>
    <row r="654" spans="1:4" x14ac:dyDescent="0.2">
      <c r="A654">
        <v>617</v>
      </c>
      <c r="B654" s="61">
        <v>0.87199743048247402</v>
      </c>
      <c r="C654" s="60">
        <v>6279.7298198805784</v>
      </c>
      <c r="D654" s="60">
        <v>7201.5462435548916</v>
      </c>
    </row>
    <row r="655" spans="1:4" x14ac:dyDescent="0.2">
      <c r="A655">
        <v>618</v>
      </c>
      <c r="B655" s="61">
        <v>0.73768949005729567</v>
      </c>
      <c r="C655" s="60">
        <v>6595.0774318891145</v>
      </c>
      <c r="D655" s="60">
        <v>8940.180822390299</v>
      </c>
    </row>
    <row r="656" spans="1:4" x14ac:dyDescent="0.2">
      <c r="A656">
        <v>619</v>
      </c>
      <c r="B656" s="61">
        <v>0.90173042778574874</v>
      </c>
      <c r="C656" s="60">
        <v>6139.2188589366488</v>
      </c>
      <c r="D656" s="60">
        <v>6808.2640551587638</v>
      </c>
    </row>
    <row r="657" spans="1:4" x14ac:dyDescent="0.2">
      <c r="A657">
        <v>620</v>
      </c>
      <c r="B657" s="61">
        <v>1.1338116634232049</v>
      </c>
      <c r="C657" s="60">
        <v>5816.0713117804753</v>
      </c>
      <c r="D657" s="60">
        <v>5129.6626233501502</v>
      </c>
    </row>
    <row r="658" spans="1:4" x14ac:dyDescent="0.2">
      <c r="A658">
        <v>621</v>
      </c>
      <c r="B658" s="61">
        <v>0.7306767908343339</v>
      </c>
      <c r="C658" s="60">
        <v>6669.8449283312548</v>
      </c>
      <c r="D658" s="60">
        <v>9128.3109194082863</v>
      </c>
    </row>
    <row r="659" spans="1:4" x14ac:dyDescent="0.2">
      <c r="A659">
        <v>622</v>
      </c>
      <c r="B659" s="61">
        <v>0.94783469681438604</v>
      </c>
      <c r="C659" s="60">
        <v>8375.2736407784305</v>
      </c>
      <c r="D659" s="60">
        <v>8836.2176114961912</v>
      </c>
    </row>
    <row r="660" spans="1:4" x14ac:dyDescent="0.2">
      <c r="A660">
        <v>623</v>
      </c>
      <c r="B660" s="61">
        <v>1.0083808513613892</v>
      </c>
      <c r="C660" s="60">
        <v>5282.8326045640842</v>
      </c>
      <c r="D660" s="60">
        <v>5238.9259449263309</v>
      </c>
    </row>
    <row r="661" spans="1:4" x14ac:dyDescent="0.2">
      <c r="A661">
        <v>624</v>
      </c>
      <c r="B661" s="61">
        <v>1.0484360055836417</v>
      </c>
      <c r="C661" s="60">
        <v>7192.0005293732283</v>
      </c>
      <c r="D661" s="60">
        <v>6859.7420262857122</v>
      </c>
    </row>
    <row r="662" spans="1:4" x14ac:dyDescent="0.2">
      <c r="A662">
        <v>625</v>
      </c>
      <c r="B662" s="61">
        <v>0.87968269144016897</v>
      </c>
      <c r="C662" s="60">
        <v>7331.6641363758681</v>
      </c>
      <c r="D662" s="60">
        <v>8334.4417341812914</v>
      </c>
    </row>
    <row r="663" spans="1:4" x14ac:dyDescent="0.2">
      <c r="A663">
        <v>626</v>
      </c>
      <c r="B663" s="61">
        <v>0.97991234743616662</v>
      </c>
      <c r="C663" s="60">
        <v>6380.6364677213205</v>
      </c>
      <c r="D663" s="60">
        <v>6511.4359303825058</v>
      </c>
    </row>
    <row r="664" spans="1:4" x14ac:dyDescent="0.2">
      <c r="A664">
        <v>627</v>
      </c>
      <c r="B664" s="61">
        <v>0.60436165096667338</v>
      </c>
      <c r="C664" s="60">
        <v>8293.7065076978397</v>
      </c>
      <c r="D664" s="60">
        <v>13723.085332155173</v>
      </c>
    </row>
    <row r="665" spans="1:4" x14ac:dyDescent="0.2">
      <c r="A665">
        <v>628</v>
      </c>
      <c r="B665" s="61">
        <v>0.9141307642349652</v>
      </c>
      <c r="C665" s="60">
        <v>5514.6813220619033</v>
      </c>
      <c r="D665" s="60">
        <v>6032.7050984627267</v>
      </c>
    </row>
    <row r="666" spans="1:4" x14ac:dyDescent="0.2">
      <c r="A666">
        <v>629</v>
      </c>
      <c r="B666" s="61">
        <v>0.83170982239165969</v>
      </c>
      <c r="C666" s="60">
        <v>9478.4421239693365</v>
      </c>
      <c r="D666" s="60">
        <v>11396.333034414798</v>
      </c>
    </row>
    <row r="667" spans="1:4" x14ac:dyDescent="0.2">
      <c r="A667">
        <v>630</v>
      </c>
      <c r="B667" s="61">
        <v>0.94401560641601723</v>
      </c>
      <c r="C667" s="60">
        <v>5318.2811607811891</v>
      </c>
      <c r="D667" s="60">
        <v>5633.6792788545081</v>
      </c>
    </row>
    <row r="668" spans="1:4" x14ac:dyDescent="0.2">
      <c r="A668">
        <v>631</v>
      </c>
      <c r="B668" s="61">
        <v>1.0415401069739563</v>
      </c>
      <c r="C668" s="60">
        <v>6955.9125464808894</v>
      </c>
      <c r="D668" s="60">
        <v>6678.4874628498792</v>
      </c>
    </row>
    <row r="669" spans="1:4" x14ac:dyDescent="0.2">
      <c r="A669">
        <v>632</v>
      </c>
      <c r="B669" s="61">
        <v>0.95330442405953786</v>
      </c>
      <c r="C669" s="60">
        <v>6552.4514674367692</v>
      </c>
      <c r="D669" s="60">
        <v>6873.4092720706194</v>
      </c>
    </row>
    <row r="670" spans="1:4" x14ac:dyDescent="0.2">
      <c r="A670">
        <v>633</v>
      </c>
      <c r="B670" s="61">
        <v>0.71667391562013272</v>
      </c>
      <c r="C670" s="60">
        <v>5237.7425387233534</v>
      </c>
      <c r="D670" s="60">
        <v>7308.4040378268446</v>
      </c>
    </row>
    <row r="671" spans="1:4" x14ac:dyDescent="0.2">
      <c r="A671">
        <v>634</v>
      </c>
      <c r="B671" s="61">
        <v>1.0164568542383385</v>
      </c>
      <c r="C671" s="60">
        <v>4483.8770594889183</v>
      </c>
      <c r="D671" s="60">
        <v>4411.2812470026793</v>
      </c>
    </row>
    <row r="672" spans="1:4" x14ac:dyDescent="0.2">
      <c r="A672">
        <v>635</v>
      </c>
      <c r="B672" s="61">
        <v>0.97012015015259667</v>
      </c>
      <c r="C672" s="60">
        <v>6552.2147150674682</v>
      </c>
      <c r="D672" s="60">
        <v>6754.0239361452568</v>
      </c>
    </row>
    <row r="673" spans="1:4" x14ac:dyDescent="0.2">
      <c r="A673">
        <v>636</v>
      </c>
      <c r="B673" s="61">
        <v>0.9057852688978123</v>
      </c>
      <c r="C673" s="60">
        <v>7227.6062036682215</v>
      </c>
      <c r="D673" s="60">
        <v>7979.3814846017503</v>
      </c>
    </row>
    <row r="674" spans="1:4" x14ac:dyDescent="0.2">
      <c r="A674">
        <v>637</v>
      </c>
      <c r="B674" s="61">
        <v>0.87750633027909597</v>
      </c>
      <c r="C674" s="60">
        <v>6388.3728783430288</v>
      </c>
      <c r="D674" s="60">
        <v>7280.1444934433348</v>
      </c>
    </row>
    <row r="675" spans="1:4" x14ac:dyDescent="0.2">
      <c r="A675">
        <v>638</v>
      </c>
      <c r="B675" s="61">
        <v>0.66200038210139311</v>
      </c>
      <c r="C675" s="60">
        <v>8800.7978132339249</v>
      </c>
      <c r="D675" s="60">
        <v>13294.248842119217</v>
      </c>
    </row>
    <row r="676" spans="1:4" x14ac:dyDescent="0.2">
      <c r="A676">
        <v>639</v>
      </c>
      <c r="B676" s="61">
        <v>0.91262748033774432</v>
      </c>
      <c r="C676" s="60">
        <v>6184.3277748621895</v>
      </c>
      <c r="D676" s="60">
        <v>6776.398813427686</v>
      </c>
    </row>
    <row r="677" spans="1:4" x14ac:dyDescent="0.2">
      <c r="A677">
        <v>640</v>
      </c>
      <c r="B677" s="61">
        <v>1.1000464784377666</v>
      </c>
      <c r="C677" s="60">
        <v>4801.1688600579691</v>
      </c>
      <c r="D677" s="60">
        <v>4364.5145493091886</v>
      </c>
    </row>
    <row r="678" spans="1:4" x14ac:dyDescent="0.2">
      <c r="A678">
        <v>641</v>
      </c>
      <c r="B678" s="61">
        <v>0.80217521707733574</v>
      </c>
      <c r="C678" s="60">
        <v>6627.0416719448149</v>
      </c>
      <c r="D678" s="60">
        <v>8261.3393319354036</v>
      </c>
    </row>
    <row r="679" spans="1:4" x14ac:dyDescent="0.2">
      <c r="A679">
        <v>642</v>
      </c>
      <c r="B679" s="61">
        <v>0.70359611973009351</v>
      </c>
      <c r="C679" s="60">
        <v>8182.4316020934384</v>
      </c>
      <c r="D679" s="60">
        <v>11629.44389919646</v>
      </c>
    </row>
    <row r="680" spans="1:4" x14ac:dyDescent="0.2">
      <c r="A680">
        <v>643</v>
      </c>
      <c r="B680" s="61">
        <v>1.1541856923607625</v>
      </c>
      <c r="C680" s="60">
        <v>7816.8375272618614</v>
      </c>
      <c r="D680" s="60">
        <v>6772.5995730144277</v>
      </c>
    </row>
    <row r="681" spans="1:4" x14ac:dyDescent="0.2">
      <c r="A681">
        <v>644</v>
      </c>
      <c r="B681" s="61">
        <v>0.96498230745067559</v>
      </c>
      <c r="C681" s="60">
        <v>8996.7075362778578</v>
      </c>
      <c r="D681" s="60">
        <v>9323.1839245277752</v>
      </c>
    </row>
    <row r="682" spans="1:4" x14ac:dyDescent="0.2">
      <c r="A682">
        <v>645</v>
      </c>
      <c r="B682" s="61">
        <v>0.68737715450778669</v>
      </c>
      <c r="C682" s="60">
        <v>6422.5925697075436</v>
      </c>
      <c r="D682" s="60">
        <v>9343.6223877801094</v>
      </c>
    </row>
    <row r="683" spans="1:4" x14ac:dyDescent="0.2">
      <c r="A683">
        <v>646</v>
      </c>
      <c r="B683" s="61">
        <v>1.0669467904823886</v>
      </c>
      <c r="C683" s="60">
        <v>6687.6954069851727</v>
      </c>
      <c r="D683" s="60">
        <v>6268.0683485270411</v>
      </c>
    </row>
    <row r="684" spans="1:4" x14ac:dyDescent="0.2">
      <c r="A684">
        <v>647</v>
      </c>
      <c r="B684" s="61">
        <v>1.0287481294957157</v>
      </c>
      <c r="C684" s="60">
        <v>8027.7332229600488</v>
      </c>
      <c r="D684" s="60">
        <v>7803.4000673179171</v>
      </c>
    </row>
    <row r="685" spans="1:4" x14ac:dyDescent="0.2">
      <c r="A685">
        <v>648</v>
      </c>
      <c r="B685" s="61">
        <v>0.59003560595424176</v>
      </c>
      <c r="C685" s="60">
        <v>9339.8796315963118</v>
      </c>
      <c r="D685" s="60">
        <v>15829.349173752466</v>
      </c>
    </row>
    <row r="686" spans="1:4" x14ac:dyDescent="0.2">
      <c r="A686">
        <v>649</v>
      </c>
      <c r="B686" s="61">
        <v>0.80249415049413564</v>
      </c>
      <c r="C686" s="60">
        <v>6101.2463524198065</v>
      </c>
      <c r="D686" s="60">
        <v>7602.8546110435382</v>
      </c>
    </row>
    <row r="687" spans="1:4" x14ac:dyDescent="0.2">
      <c r="A687">
        <v>650</v>
      </c>
      <c r="B687" s="61">
        <v>1.2743598679328736</v>
      </c>
      <c r="C687" s="60">
        <v>6119.221089992132</v>
      </c>
      <c r="D687" s="60">
        <v>4801.7999028155673</v>
      </c>
    </row>
    <row r="688" spans="1:4" x14ac:dyDescent="0.2">
      <c r="A688">
        <v>651</v>
      </c>
      <c r="B688" s="61">
        <v>0.78091143463596779</v>
      </c>
      <c r="C688" s="60">
        <v>6307.5790053496294</v>
      </c>
      <c r="D688" s="60">
        <v>8077.2014924970217</v>
      </c>
    </row>
    <row r="689" spans="1:4" x14ac:dyDescent="0.2">
      <c r="A689">
        <v>652</v>
      </c>
      <c r="B689" s="61">
        <v>0.64085007169256869</v>
      </c>
      <c r="C689" s="60">
        <v>6205.4137279220322</v>
      </c>
      <c r="D689" s="60">
        <v>9683.0975013121624</v>
      </c>
    </row>
    <row r="690" spans="1:4" x14ac:dyDescent="0.2">
      <c r="A690">
        <v>653</v>
      </c>
      <c r="B690" s="61">
        <v>1.087304752952349</v>
      </c>
      <c r="C690" s="60">
        <v>5603.7786415602313</v>
      </c>
      <c r="D690" s="60">
        <v>5153.8252052557855</v>
      </c>
    </row>
    <row r="691" spans="1:4" x14ac:dyDescent="0.2">
      <c r="A691">
        <v>654</v>
      </c>
      <c r="B691" s="61">
        <v>1.0363608671019824</v>
      </c>
      <c r="C691" s="60">
        <v>7915.5989178813325</v>
      </c>
      <c r="D691" s="60">
        <v>7637.87901410832</v>
      </c>
    </row>
    <row r="692" spans="1:4" x14ac:dyDescent="0.2">
      <c r="A692">
        <v>655</v>
      </c>
      <c r="B692" s="61">
        <v>0.83240896833429545</v>
      </c>
      <c r="C692" s="60">
        <v>8799.3879072958407</v>
      </c>
      <c r="D692" s="60">
        <v>10570.991233917131</v>
      </c>
    </row>
    <row r="693" spans="1:4" x14ac:dyDescent="0.2">
      <c r="A693">
        <v>656</v>
      </c>
      <c r="B693" s="61">
        <v>0.84280240209621926</v>
      </c>
      <c r="C693" s="60">
        <v>5311.5092228815975</v>
      </c>
      <c r="D693" s="60">
        <v>6302.1999102883483</v>
      </c>
    </row>
    <row r="694" spans="1:4" x14ac:dyDescent="0.2">
      <c r="A694">
        <v>657</v>
      </c>
      <c r="B694" s="61">
        <v>0.67701110423877342</v>
      </c>
      <c r="C694" s="60">
        <v>5711.7900019644476</v>
      </c>
      <c r="D694" s="60">
        <v>8436.774472682755</v>
      </c>
    </row>
    <row r="695" spans="1:4" x14ac:dyDescent="0.2">
      <c r="A695">
        <v>658</v>
      </c>
      <c r="B695" s="61">
        <v>0.76142851891238728</v>
      </c>
      <c r="C695" s="60">
        <v>5861.3401987418201</v>
      </c>
      <c r="D695" s="60">
        <v>7697.8206793647132</v>
      </c>
    </row>
    <row r="696" spans="1:4" x14ac:dyDescent="0.2">
      <c r="A696">
        <v>659</v>
      </c>
      <c r="B696" s="61">
        <v>0.78681713460633329</v>
      </c>
      <c r="C696" s="60">
        <v>7480.2385829981295</v>
      </c>
      <c r="D696" s="60">
        <v>9506.9594369480819</v>
      </c>
    </row>
    <row r="697" spans="1:4" x14ac:dyDescent="0.2">
      <c r="A697">
        <v>660</v>
      </c>
      <c r="B697" s="61">
        <v>0.8527899956475089</v>
      </c>
      <c r="C697" s="60">
        <v>5195.0595414460149</v>
      </c>
      <c r="D697" s="60">
        <v>6091.8392194569478</v>
      </c>
    </row>
    <row r="698" spans="1:4" x14ac:dyDescent="0.2">
      <c r="A698">
        <v>661</v>
      </c>
      <c r="B698" s="61">
        <v>0.69492098591963547</v>
      </c>
      <c r="C698" s="60">
        <v>5714.1628076254419</v>
      </c>
      <c r="D698" s="60">
        <v>8222.751828488108</v>
      </c>
    </row>
    <row r="699" spans="1:4" x14ac:dyDescent="0.2">
      <c r="A699">
        <v>662</v>
      </c>
      <c r="B699" s="61">
        <v>0.91175577946690822</v>
      </c>
      <c r="C699" s="60">
        <v>5514.5382369253648</v>
      </c>
      <c r="D699" s="60">
        <v>6048.2624416701192</v>
      </c>
    </row>
    <row r="700" spans="1:4" x14ac:dyDescent="0.2">
      <c r="A700">
        <v>663</v>
      </c>
      <c r="B700" s="61">
        <v>0.98505076861891627</v>
      </c>
      <c r="C700" s="60">
        <v>6422.5249139423486</v>
      </c>
      <c r="D700" s="60">
        <v>6519.9938100114432</v>
      </c>
    </row>
    <row r="701" spans="1:4" x14ac:dyDescent="0.2">
      <c r="A701">
        <v>664</v>
      </c>
      <c r="B701" s="61">
        <v>0.96367361030075838</v>
      </c>
      <c r="C701" s="60">
        <v>8621.8667952288015</v>
      </c>
      <c r="D701" s="60">
        <v>8946.8744428292011</v>
      </c>
    </row>
    <row r="702" spans="1:4" x14ac:dyDescent="0.2">
      <c r="A702">
        <v>665</v>
      </c>
      <c r="B702" s="61">
        <v>0.79079659653386969</v>
      </c>
      <c r="C702" s="60">
        <v>5477.6085848337352</v>
      </c>
      <c r="D702" s="60">
        <v>6926.6972175178425</v>
      </c>
    </row>
    <row r="703" spans="1:4" x14ac:dyDescent="0.2">
      <c r="A703">
        <v>666</v>
      </c>
      <c r="B703" s="61">
        <v>0.82860794382192005</v>
      </c>
      <c r="C703" s="60">
        <v>7561.1318779744179</v>
      </c>
      <c r="D703" s="60">
        <v>9125.1018462350348</v>
      </c>
    </row>
    <row r="704" spans="1:4" x14ac:dyDescent="0.2">
      <c r="A704">
        <v>667</v>
      </c>
      <c r="B704" s="61">
        <v>1.0896794923611726</v>
      </c>
      <c r="C704" s="60">
        <v>5389.8715502746245</v>
      </c>
      <c r="D704" s="60">
        <v>4946.290710303796</v>
      </c>
    </row>
    <row r="705" spans="1:4" x14ac:dyDescent="0.2">
      <c r="A705">
        <v>668</v>
      </c>
      <c r="B705" s="61">
        <v>0.76400011258326916</v>
      </c>
      <c r="C705" s="60">
        <v>7131.513796199768</v>
      </c>
      <c r="D705" s="60">
        <v>9334.4407660967408</v>
      </c>
    </row>
    <row r="706" spans="1:4" x14ac:dyDescent="0.2">
      <c r="A706">
        <v>669</v>
      </c>
      <c r="B706" s="61">
        <v>0.59174545276575863</v>
      </c>
      <c r="C706" s="60">
        <v>7495.6235855233963</v>
      </c>
      <c r="D706" s="60">
        <v>12666.972852076187</v>
      </c>
    </row>
    <row r="707" spans="1:4" x14ac:dyDescent="0.2">
      <c r="A707">
        <v>670</v>
      </c>
      <c r="B707" s="61">
        <v>0.89632060366836619</v>
      </c>
      <c r="C707" s="60">
        <v>7153.4474975565754</v>
      </c>
      <c r="D707" s="60">
        <v>7980.9026683975599</v>
      </c>
    </row>
    <row r="708" spans="1:4" x14ac:dyDescent="0.2">
      <c r="A708">
        <v>671</v>
      </c>
      <c r="B708" s="61">
        <v>1.2455772452957303</v>
      </c>
      <c r="C708" s="60">
        <v>6454.8720633252778</v>
      </c>
      <c r="D708" s="60">
        <v>5182.2334485507836</v>
      </c>
    </row>
    <row r="709" spans="1:4" x14ac:dyDescent="0.2">
      <c r="A709">
        <v>672</v>
      </c>
      <c r="B709" s="61">
        <v>0.97016938977887612</v>
      </c>
      <c r="C709" s="60">
        <v>6758.1381118806657</v>
      </c>
      <c r="D709" s="60">
        <v>6965.9362407022554</v>
      </c>
    </row>
    <row r="710" spans="1:4" x14ac:dyDescent="0.2">
      <c r="A710">
        <v>673</v>
      </c>
      <c r="B710" s="61">
        <v>0.68769277937708218</v>
      </c>
      <c r="C710" s="60">
        <v>7428.2590804212432</v>
      </c>
      <c r="D710" s="60">
        <v>10801.711611905859</v>
      </c>
    </row>
    <row r="711" spans="1:4" x14ac:dyDescent="0.2">
      <c r="A711">
        <v>674</v>
      </c>
      <c r="B711" s="61">
        <v>0.89321700322654785</v>
      </c>
      <c r="C711" s="60">
        <v>7347.0046855505689</v>
      </c>
      <c r="D711" s="60">
        <v>8225.3300810566161</v>
      </c>
    </row>
    <row r="712" spans="1:4" x14ac:dyDescent="0.2">
      <c r="A712">
        <v>675</v>
      </c>
      <c r="B712" s="61">
        <v>0.61347150080629653</v>
      </c>
      <c r="C712" s="60">
        <v>8501.9100947895004</v>
      </c>
      <c r="D712" s="60">
        <v>13858.687948201812</v>
      </c>
    </row>
    <row r="713" spans="1:4" x14ac:dyDescent="0.2">
      <c r="A713">
        <v>676</v>
      </c>
      <c r="B713" s="61">
        <v>0.52869738820398737</v>
      </c>
      <c r="C713" s="60">
        <v>8418.0352489172219</v>
      </c>
      <c r="D713" s="60">
        <v>15922.2183364925</v>
      </c>
    </row>
    <row r="714" spans="1:4" x14ac:dyDescent="0.2">
      <c r="A714">
        <v>677</v>
      </c>
      <c r="B714" s="61">
        <v>0.94577134459523293</v>
      </c>
      <c r="C714" s="60">
        <v>7349.9424728545309</v>
      </c>
      <c r="D714" s="60">
        <v>7771.3736146236561</v>
      </c>
    </row>
    <row r="715" spans="1:4" x14ac:dyDescent="0.2">
      <c r="A715">
        <v>678</v>
      </c>
      <c r="B715" s="61">
        <v>1.0126597757694356</v>
      </c>
      <c r="C715" s="60">
        <v>8623.478795989593</v>
      </c>
      <c r="D715" s="60">
        <v>8515.672294218788</v>
      </c>
    </row>
    <row r="716" spans="1:4" x14ac:dyDescent="0.2">
      <c r="A716">
        <v>679</v>
      </c>
      <c r="B716" s="61">
        <v>1.1329466204218415</v>
      </c>
      <c r="C716" s="60">
        <v>7898.68786261881</v>
      </c>
      <c r="D716" s="60">
        <v>6971.8093688101662</v>
      </c>
    </row>
    <row r="717" spans="1:4" x14ac:dyDescent="0.2">
      <c r="A717">
        <v>680</v>
      </c>
      <c r="B717" s="61">
        <v>0.84852784966430139</v>
      </c>
      <c r="C717" s="60">
        <v>6794.8912132323203</v>
      </c>
      <c r="D717" s="60">
        <v>8007.8588061906839</v>
      </c>
    </row>
    <row r="718" spans="1:4" x14ac:dyDescent="0.2">
      <c r="A718">
        <v>681</v>
      </c>
      <c r="B718" s="61">
        <v>0.82040132709311653</v>
      </c>
      <c r="C718" s="60">
        <v>7424.701502185022</v>
      </c>
      <c r="D718" s="60">
        <v>9050.0847048755568</v>
      </c>
    </row>
    <row r="719" spans="1:4" x14ac:dyDescent="0.2">
      <c r="A719">
        <v>682</v>
      </c>
      <c r="B719" s="61">
        <v>1.1515190001840629</v>
      </c>
      <c r="C719" s="60">
        <v>7794.801433710174</v>
      </c>
      <c r="D719" s="60">
        <v>6769.1470418327663</v>
      </c>
    </row>
    <row r="720" spans="1:4" x14ac:dyDescent="0.2">
      <c r="A720">
        <v>683</v>
      </c>
      <c r="B720" s="61">
        <v>0.85038608041707686</v>
      </c>
      <c r="C720" s="60">
        <v>4573.2896045787329</v>
      </c>
      <c r="D720" s="60">
        <v>5377.898004087433</v>
      </c>
    </row>
    <row r="721" spans="1:4" x14ac:dyDescent="0.2">
      <c r="A721">
        <v>684</v>
      </c>
      <c r="B721" s="61">
        <v>0.86043339444690936</v>
      </c>
      <c r="C721" s="60">
        <v>8511.4628886620339</v>
      </c>
      <c r="D721" s="60">
        <v>9892.0647938510592</v>
      </c>
    </row>
    <row r="722" spans="1:4" x14ac:dyDescent="0.2">
      <c r="A722">
        <v>685</v>
      </c>
      <c r="B722" s="61">
        <v>1.0717629370830402</v>
      </c>
      <c r="C722" s="60">
        <v>7729.4445179549739</v>
      </c>
      <c r="D722" s="60">
        <v>7211.8975666314691</v>
      </c>
    </row>
    <row r="723" spans="1:4" x14ac:dyDescent="0.2">
      <c r="A723">
        <v>686</v>
      </c>
      <c r="B723" s="61">
        <v>1.0189826882411221</v>
      </c>
      <c r="C723" s="60">
        <v>6528.9597224100125</v>
      </c>
      <c r="D723" s="60">
        <v>6407.3313489552265</v>
      </c>
    </row>
    <row r="724" spans="1:4" x14ac:dyDescent="0.2">
      <c r="A724">
        <v>687</v>
      </c>
      <c r="B724" s="61">
        <v>0.81254195107175153</v>
      </c>
      <c r="C724" s="60">
        <v>7001.5580907735948</v>
      </c>
      <c r="D724" s="60">
        <v>8616.8573592273788</v>
      </c>
    </row>
    <row r="725" spans="1:4" x14ac:dyDescent="0.2">
      <c r="A725">
        <v>688</v>
      </c>
      <c r="B725" s="61">
        <v>1.169911824979617</v>
      </c>
      <c r="C725" s="60">
        <v>7197.2010802827499</v>
      </c>
      <c r="D725" s="60">
        <v>6151.9175433654109</v>
      </c>
    </row>
    <row r="726" spans="1:4" x14ac:dyDescent="0.2">
      <c r="A726">
        <v>689</v>
      </c>
      <c r="B726" s="61">
        <v>0.65224761634139128</v>
      </c>
      <c r="C726" s="60">
        <v>7501.6509783619786</v>
      </c>
      <c r="D726" s="60">
        <v>11501.231726135675</v>
      </c>
    </row>
    <row r="727" spans="1:4" x14ac:dyDescent="0.2">
      <c r="A727">
        <v>690</v>
      </c>
      <c r="B727" s="61">
        <v>0.85702702027329902</v>
      </c>
      <c r="C727" s="60">
        <v>5365.1063987449797</v>
      </c>
      <c r="D727" s="60">
        <v>6260.1368122957083</v>
      </c>
    </row>
    <row r="728" spans="1:4" x14ac:dyDescent="0.2">
      <c r="A728">
        <v>691</v>
      </c>
      <c r="B728" s="61">
        <v>0.803645185993628</v>
      </c>
      <c r="C728" s="60">
        <v>8018.7033358259268</v>
      </c>
      <c r="D728" s="60">
        <v>9977.9149748922973</v>
      </c>
    </row>
    <row r="729" spans="1:4" x14ac:dyDescent="0.2">
      <c r="A729">
        <v>692</v>
      </c>
      <c r="B729" s="61">
        <v>0.7809983944147243</v>
      </c>
      <c r="C729" s="60">
        <v>6729.1712103671653</v>
      </c>
      <c r="D729" s="60">
        <v>8616.1140131535958</v>
      </c>
    </row>
    <row r="730" spans="1:4" x14ac:dyDescent="0.2">
      <c r="A730">
        <v>693</v>
      </c>
      <c r="B730" s="61">
        <v>0.87004863226271212</v>
      </c>
      <c r="C730" s="60">
        <v>5633.8296741589293</v>
      </c>
      <c r="D730" s="60">
        <v>6475.3043281123028</v>
      </c>
    </row>
    <row r="731" spans="1:4" x14ac:dyDescent="0.2">
      <c r="A731">
        <v>694</v>
      </c>
      <c r="B731" s="61">
        <v>1.2698847499582619</v>
      </c>
      <c r="C731" s="60">
        <v>6332.9997036826981</v>
      </c>
      <c r="D731" s="60">
        <v>4987.0665065399426</v>
      </c>
    </row>
    <row r="732" spans="1:4" x14ac:dyDescent="0.2">
      <c r="A732">
        <v>695</v>
      </c>
      <c r="B732" s="61">
        <v>0.80561170020315398</v>
      </c>
      <c r="C732" s="60">
        <v>8579.3921275617213</v>
      </c>
      <c r="D732" s="60">
        <v>10649.537643753467</v>
      </c>
    </row>
    <row r="733" spans="1:4" x14ac:dyDescent="0.2">
      <c r="A733">
        <v>696</v>
      </c>
      <c r="B733" s="61">
        <v>0.92015810635158957</v>
      </c>
      <c r="C733" s="60">
        <v>5300.9727395643149</v>
      </c>
      <c r="D733" s="60">
        <v>5760.9368465845255</v>
      </c>
    </row>
    <row r="734" spans="1:4" x14ac:dyDescent="0.2">
      <c r="A734">
        <v>697</v>
      </c>
      <c r="B734" s="61">
        <v>0.82238292161405191</v>
      </c>
      <c r="C734" s="60">
        <v>6769.6916402277311</v>
      </c>
      <c r="D734" s="60">
        <v>8231.7998858015908</v>
      </c>
    </row>
    <row r="735" spans="1:4" x14ac:dyDescent="0.2">
      <c r="A735">
        <v>698</v>
      </c>
      <c r="B735" s="61">
        <v>0.90233692838089752</v>
      </c>
      <c r="C735" s="60">
        <v>6365.5401840508548</v>
      </c>
      <c r="D735" s="60">
        <v>7054.5047906582095</v>
      </c>
    </row>
    <row r="736" spans="1:4" x14ac:dyDescent="0.2">
      <c r="A736">
        <v>699</v>
      </c>
      <c r="B736" s="61">
        <v>0.89817828404506894</v>
      </c>
      <c r="C736" s="60">
        <v>7879.6633285356911</v>
      </c>
      <c r="D736" s="60">
        <v>8772.939035052761</v>
      </c>
    </row>
    <row r="737" spans="1:4" x14ac:dyDescent="0.2">
      <c r="A737">
        <v>700</v>
      </c>
      <c r="B737" s="61">
        <v>0.77364334918662436</v>
      </c>
      <c r="C737" s="60">
        <v>6096.6156857492551</v>
      </c>
      <c r="D737" s="60">
        <v>7880.3956528017425</v>
      </c>
    </row>
    <row r="738" spans="1:4" x14ac:dyDescent="0.2">
      <c r="A738">
        <v>701</v>
      </c>
      <c r="B738" s="61">
        <v>0.82156853058349988</v>
      </c>
      <c r="C738" s="60">
        <v>6224.0817483658175</v>
      </c>
      <c r="D738" s="60">
        <v>7575.8521859951334</v>
      </c>
    </row>
    <row r="739" spans="1:4" x14ac:dyDescent="0.2">
      <c r="A739">
        <v>702</v>
      </c>
      <c r="B739" s="62">
        <v>1.0327079425324328</v>
      </c>
      <c r="C739" s="63">
        <v>5989.1027144216823</v>
      </c>
      <c r="D739" s="63">
        <v>5799.4157571162386</v>
      </c>
    </row>
    <row r="740" spans="1:4" x14ac:dyDescent="0.2">
      <c r="A740">
        <v>703</v>
      </c>
      <c r="B740" s="61">
        <v>0.97120569923014521</v>
      </c>
      <c r="C740" s="60">
        <v>5850.5918939035619</v>
      </c>
      <c r="D740" s="60">
        <v>6024.050207428978</v>
      </c>
    </row>
    <row r="741" spans="1:4" x14ac:dyDescent="0.2">
      <c r="A741">
        <v>704</v>
      </c>
      <c r="B741" s="61">
        <v>1.0243018309465732</v>
      </c>
      <c r="C741" s="60">
        <v>6310.2597234419682</v>
      </c>
      <c r="D741" s="60">
        <v>6160.5471481102004</v>
      </c>
    </row>
    <row r="742" spans="1:4" x14ac:dyDescent="0.2">
      <c r="A742">
        <v>705</v>
      </c>
      <c r="B742" s="61">
        <v>1.1032043852990903</v>
      </c>
      <c r="C742" s="60">
        <v>6551.1162582616034</v>
      </c>
      <c r="D742" s="60">
        <v>5938.2616182091469</v>
      </c>
    </row>
    <row r="743" spans="1:4" x14ac:dyDescent="0.2">
      <c r="A743">
        <v>706</v>
      </c>
      <c r="B743" s="61">
        <v>0.59934352446584249</v>
      </c>
      <c r="C743" s="60">
        <v>6830.273906321052</v>
      </c>
      <c r="D743" s="60">
        <v>11396.258785657939</v>
      </c>
    </row>
    <row r="744" spans="1:4" x14ac:dyDescent="0.2">
      <c r="A744">
        <v>707</v>
      </c>
      <c r="B744" s="61">
        <v>0.92963791217044811</v>
      </c>
      <c r="C744" s="60">
        <v>7210.2806654443339</v>
      </c>
      <c r="D744" s="60">
        <v>7756.0097012505839</v>
      </c>
    </row>
    <row r="745" spans="1:4" x14ac:dyDescent="0.2">
      <c r="A745">
        <v>708</v>
      </c>
      <c r="B745" s="61">
        <v>1.1205796185454604</v>
      </c>
      <c r="C745" s="60">
        <v>7157.9860627604503</v>
      </c>
      <c r="D745" s="60">
        <v>6387.7532165467101</v>
      </c>
    </row>
    <row r="746" spans="1:4" x14ac:dyDescent="0.2">
      <c r="A746">
        <v>709</v>
      </c>
      <c r="B746" s="61">
        <v>0.85267685725421671</v>
      </c>
      <c r="C746" s="60">
        <v>5728.023106627883</v>
      </c>
      <c r="D746" s="60">
        <v>6717.6950539894069</v>
      </c>
    </row>
    <row r="747" spans="1:4" x14ac:dyDescent="0.2">
      <c r="A747">
        <v>710</v>
      </c>
      <c r="B747" s="61">
        <v>0.9793854533621742</v>
      </c>
      <c r="C747" s="60">
        <v>6328.6659622142706</v>
      </c>
      <c r="D747" s="60">
        <v>6461.8745770506621</v>
      </c>
    </row>
    <row r="748" spans="1:4" x14ac:dyDescent="0.2">
      <c r="A748">
        <v>711</v>
      </c>
      <c r="B748" s="61">
        <v>0.798290752173477</v>
      </c>
      <c r="C748" s="60">
        <v>8499.4692931337086</v>
      </c>
      <c r="D748" s="60">
        <v>10647.084749500749</v>
      </c>
    </row>
    <row r="749" spans="1:4" x14ac:dyDescent="0.2">
      <c r="A749">
        <v>712</v>
      </c>
      <c r="B749" s="61">
        <v>0.97046433264115439</v>
      </c>
      <c r="C749" s="60">
        <v>6323.323133134174</v>
      </c>
      <c r="D749" s="60">
        <v>6515.7707712193987</v>
      </c>
    </row>
    <row r="750" spans="1:4" x14ac:dyDescent="0.2">
      <c r="A750">
        <v>713</v>
      </c>
      <c r="B750" s="61">
        <v>0.87955812712979409</v>
      </c>
      <c r="C750" s="60">
        <v>7110.2849625727295</v>
      </c>
      <c r="D750" s="60">
        <v>8083.9284445875892</v>
      </c>
    </row>
    <row r="751" spans="1:4" x14ac:dyDescent="0.2">
      <c r="A751">
        <v>714</v>
      </c>
      <c r="B751" s="61">
        <v>0.97218077364229671</v>
      </c>
      <c r="C751" s="60">
        <v>5952.4619898453584</v>
      </c>
      <c r="D751" s="60">
        <v>6122.7933643907891</v>
      </c>
    </row>
    <row r="752" spans="1:4" x14ac:dyDescent="0.2">
      <c r="A752">
        <v>715</v>
      </c>
      <c r="B752" s="61">
        <v>0.9444247300644415</v>
      </c>
      <c r="C752" s="60">
        <v>7211.9052431911841</v>
      </c>
      <c r="D752" s="60">
        <v>7636.2943637647968</v>
      </c>
    </row>
    <row r="753" spans="1:4" x14ac:dyDescent="0.2">
      <c r="A753">
        <v>716</v>
      </c>
      <c r="B753" s="61">
        <v>0.71370894510921623</v>
      </c>
      <c r="C753" s="60">
        <v>7559.5513455029177</v>
      </c>
      <c r="D753" s="60">
        <v>10591.924617598996</v>
      </c>
    </row>
    <row r="754" spans="1:4" x14ac:dyDescent="0.2">
      <c r="A754">
        <v>717</v>
      </c>
      <c r="B754" s="61">
        <v>0.59104420861927665</v>
      </c>
      <c r="C754" s="60">
        <v>8411.8302513882645</v>
      </c>
      <c r="D754" s="60">
        <v>14232.150706694052</v>
      </c>
    </row>
    <row r="755" spans="1:4" x14ac:dyDescent="0.2">
      <c r="A755">
        <v>718</v>
      </c>
      <c r="B755" s="61">
        <v>0.92861664801806487</v>
      </c>
      <c r="C755" s="60">
        <v>6256.9727229315968</v>
      </c>
      <c r="D755" s="60">
        <v>6737.9501932102739</v>
      </c>
    </row>
    <row r="756" spans="1:4" x14ac:dyDescent="0.2">
      <c r="A756">
        <v>719</v>
      </c>
      <c r="B756" s="61">
        <v>1.0270182908632082</v>
      </c>
      <c r="C756" s="60">
        <v>9123.9027914846902</v>
      </c>
      <c r="D756" s="60">
        <v>8883.875655044134</v>
      </c>
    </row>
    <row r="757" spans="1:4" x14ac:dyDescent="0.2">
      <c r="A757">
        <v>720</v>
      </c>
      <c r="B757" s="61">
        <v>0.66995034129236686</v>
      </c>
      <c r="C757" s="60">
        <v>8967.2920619596334</v>
      </c>
      <c r="D757" s="60">
        <v>13385.010066061448</v>
      </c>
    </row>
    <row r="758" spans="1:4" x14ac:dyDescent="0.2">
      <c r="A758">
        <v>721</v>
      </c>
      <c r="B758" s="61">
        <v>0.8644747476925474</v>
      </c>
      <c r="C758" s="60">
        <v>6109.4208919458724</v>
      </c>
      <c r="D758" s="60">
        <v>7067.205731865638</v>
      </c>
    </row>
    <row r="759" spans="1:4" x14ac:dyDescent="0.2">
      <c r="A759">
        <v>722</v>
      </c>
      <c r="B759" s="61">
        <v>1.171777517610864</v>
      </c>
      <c r="C759" s="60">
        <v>5647.0873779942267</v>
      </c>
      <c r="D759" s="60">
        <v>4819.2487849639474</v>
      </c>
    </row>
    <row r="760" spans="1:4" x14ac:dyDescent="0.2">
      <c r="A760">
        <v>723</v>
      </c>
      <c r="B760" s="61">
        <v>0.91497213333927796</v>
      </c>
      <c r="C760" s="60">
        <v>7218.1642858233317</v>
      </c>
      <c r="D760" s="60">
        <v>7888.9443982080129</v>
      </c>
    </row>
    <row r="761" spans="1:4" x14ac:dyDescent="0.2">
      <c r="A761">
        <v>724</v>
      </c>
      <c r="B761" s="61">
        <v>0.58388670474945403</v>
      </c>
      <c r="C761" s="60">
        <v>5930.0625108235345</v>
      </c>
      <c r="D761" s="60">
        <v>10156.186915350516</v>
      </c>
    </row>
    <row r="762" spans="1:4" x14ac:dyDescent="0.2">
      <c r="A762">
        <v>725</v>
      </c>
      <c r="B762" s="61">
        <v>0.67419492459803188</v>
      </c>
      <c r="C762" s="60">
        <v>7576.1824530576541</v>
      </c>
      <c r="D762" s="60">
        <v>11237.376872237241</v>
      </c>
    </row>
    <row r="763" spans="1:4" x14ac:dyDescent="0.2">
      <c r="A763">
        <v>726</v>
      </c>
      <c r="B763" s="61">
        <v>0.79437377052087932</v>
      </c>
      <c r="C763" s="60">
        <v>6110.0155978468974</v>
      </c>
      <c r="D763" s="60">
        <v>7691.6129718639822</v>
      </c>
    </row>
    <row r="764" spans="1:4" x14ac:dyDescent="0.2">
      <c r="A764">
        <v>727</v>
      </c>
      <c r="B764" s="61">
        <v>1.0108146286415582</v>
      </c>
      <c r="C764" s="60">
        <v>4568.3599412993208</v>
      </c>
      <c r="D764" s="60">
        <v>4519.4834066052008</v>
      </c>
    </row>
    <row r="765" spans="1:4" x14ac:dyDescent="0.2">
      <c r="A765">
        <v>728</v>
      </c>
      <c r="B765" s="61">
        <v>0.6544540681780493</v>
      </c>
      <c r="C765" s="60">
        <v>7859.8470688297948</v>
      </c>
      <c r="D765" s="60">
        <v>12009.776470197543</v>
      </c>
    </row>
    <row r="766" spans="1:4" x14ac:dyDescent="0.2">
      <c r="A766">
        <v>729</v>
      </c>
      <c r="B766" s="61">
        <v>0.8904425412645578</v>
      </c>
      <c r="C766" s="60">
        <v>7072.1332751781702</v>
      </c>
      <c r="D766" s="60">
        <v>7942.2679706370645</v>
      </c>
    </row>
    <row r="767" spans="1:4" x14ac:dyDescent="0.2">
      <c r="A767">
        <v>730</v>
      </c>
      <c r="B767" s="62">
        <v>0.80074289941480448</v>
      </c>
      <c r="C767" s="63">
        <v>6116.0217295352577</v>
      </c>
      <c r="D767" s="63">
        <v>7637.9343906826307</v>
      </c>
    </row>
    <row r="768" spans="1:4" x14ac:dyDescent="0.2">
      <c r="A768">
        <v>731</v>
      </c>
      <c r="B768" s="61">
        <v>0.82570656049701086</v>
      </c>
      <c r="C768" s="60">
        <v>8408.8450163783982</v>
      </c>
      <c r="D768" s="60">
        <v>10183.817615929962</v>
      </c>
    </row>
    <row r="769" spans="1:4" x14ac:dyDescent="0.2">
      <c r="A769">
        <v>732</v>
      </c>
      <c r="B769" s="61">
        <v>0.7613555827166687</v>
      </c>
      <c r="C769" s="60">
        <v>7134.0385346118874</v>
      </c>
      <c r="D769" s="60">
        <v>9370.1795804218236</v>
      </c>
    </row>
    <row r="770" spans="1:4" x14ac:dyDescent="0.2">
      <c r="A770">
        <v>733</v>
      </c>
      <c r="B770" s="61">
        <v>0.80167677516075742</v>
      </c>
      <c r="C770" s="60">
        <v>7218.2159859485864</v>
      </c>
      <c r="D770" s="60">
        <v>9003.8980915982538</v>
      </c>
    </row>
    <row r="771" spans="1:4" x14ac:dyDescent="0.2">
      <c r="A771">
        <v>734</v>
      </c>
      <c r="B771" s="61">
        <v>0.7644809685452687</v>
      </c>
      <c r="C771" s="60">
        <v>6445.6796683165612</v>
      </c>
      <c r="D771" s="60">
        <v>8431.4455604853702</v>
      </c>
    </row>
    <row r="772" spans="1:4" x14ac:dyDescent="0.2">
      <c r="A772">
        <v>735</v>
      </c>
      <c r="B772" s="61">
        <v>1.0353598468147718</v>
      </c>
      <c r="C772" s="60">
        <v>6754.90168461957</v>
      </c>
      <c r="D772" s="60">
        <v>6524.2067339202476</v>
      </c>
    </row>
    <row r="773" spans="1:4" x14ac:dyDescent="0.2">
      <c r="A773">
        <v>736</v>
      </c>
      <c r="B773" s="61">
        <v>0.74936187731377402</v>
      </c>
      <c r="C773" s="60">
        <v>6384.3713905572404</v>
      </c>
      <c r="D773" s="60">
        <v>8519.7440433495212</v>
      </c>
    </row>
    <row r="774" spans="1:4" x14ac:dyDescent="0.2">
      <c r="A774">
        <v>737</v>
      </c>
      <c r="B774" s="61">
        <v>0.87488393704998124</v>
      </c>
      <c r="C774" s="60">
        <v>6056.9740022807437</v>
      </c>
      <c r="D774" s="60">
        <v>6923.1743157889468</v>
      </c>
    </row>
    <row r="775" spans="1:4" x14ac:dyDescent="0.2">
      <c r="A775">
        <v>738</v>
      </c>
      <c r="B775" s="61">
        <v>0.94830858885827496</v>
      </c>
      <c r="C775" s="60">
        <v>6059.9930135730756</v>
      </c>
      <c r="D775" s="60">
        <v>6390.3175451242732</v>
      </c>
    </row>
    <row r="776" spans="1:4" x14ac:dyDescent="0.2">
      <c r="A776">
        <v>739</v>
      </c>
      <c r="B776" s="61">
        <v>0.83448188788016431</v>
      </c>
      <c r="C776" s="60">
        <v>7165.388119106392</v>
      </c>
      <c r="D776" s="60">
        <v>8586.6310859168425</v>
      </c>
    </row>
    <row r="777" spans="1:4" x14ac:dyDescent="0.2">
      <c r="A777">
        <v>740</v>
      </c>
      <c r="B777" s="62">
        <v>0.93976903842770909</v>
      </c>
      <c r="C777" s="63">
        <v>6758.699308026562</v>
      </c>
      <c r="D777" s="63">
        <v>7191.8727172947492</v>
      </c>
    </row>
    <row r="778" spans="1:4" x14ac:dyDescent="0.2">
      <c r="A778">
        <v>741</v>
      </c>
      <c r="B778" s="61">
        <v>0.89893845544366435</v>
      </c>
      <c r="C778" s="60">
        <v>8695.1742021396822</v>
      </c>
      <c r="D778" s="60">
        <v>9672.7135762016587</v>
      </c>
    </row>
    <row r="779" spans="1:4" x14ac:dyDescent="0.2">
      <c r="A779">
        <v>742</v>
      </c>
      <c r="B779" s="61">
        <v>0.95769305376782476</v>
      </c>
      <c r="C779" s="60">
        <v>7337.4366761271367</v>
      </c>
      <c r="D779" s="60">
        <v>7661.5744964001424</v>
      </c>
    </row>
    <row r="780" spans="1:4" x14ac:dyDescent="0.2">
      <c r="A780">
        <v>743</v>
      </c>
      <c r="B780" s="61">
        <v>0.90487112667600478</v>
      </c>
      <c r="C780" s="60">
        <v>7923.8518426892151</v>
      </c>
      <c r="D780" s="60">
        <v>8756.8843883847385</v>
      </c>
    </row>
    <row r="781" spans="1:4" x14ac:dyDescent="0.2">
      <c r="A781">
        <v>744</v>
      </c>
      <c r="B781" s="61">
        <v>0.78036094967889902</v>
      </c>
      <c r="C781" s="60">
        <v>9129.5267259249667</v>
      </c>
      <c r="D781" s="60">
        <v>11699.1076112683</v>
      </c>
    </row>
    <row r="782" spans="1:4" x14ac:dyDescent="0.2">
      <c r="A782">
        <v>745</v>
      </c>
      <c r="B782" s="61">
        <v>0.73451071916168864</v>
      </c>
      <c r="C782" s="60">
        <v>6777.7061377410673</v>
      </c>
      <c r="D782" s="60">
        <v>9227.5115405757388</v>
      </c>
    </row>
    <row r="783" spans="1:4" x14ac:dyDescent="0.2">
      <c r="A783">
        <v>746</v>
      </c>
      <c r="B783" s="61">
        <v>0.77424925645759668</v>
      </c>
      <c r="C783" s="60">
        <v>6313.5322477312475</v>
      </c>
      <c r="D783" s="60">
        <v>8154.3923937588188</v>
      </c>
    </row>
    <row r="784" spans="1:4" x14ac:dyDescent="0.2">
      <c r="A784">
        <v>747</v>
      </c>
      <c r="B784" s="61">
        <v>1.0260614741073555</v>
      </c>
      <c r="C784" s="60">
        <v>6796.1547408813767</v>
      </c>
      <c r="D784" s="60">
        <v>6623.5356383435401</v>
      </c>
    </row>
    <row r="785" spans="1:4" x14ac:dyDescent="0.2">
      <c r="A785">
        <v>748</v>
      </c>
      <c r="B785" s="61">
        <v>0.85911328928398856</v>
      </c>
      <c r="C785" s="60">
        <v>7073.6404593954212</v>
      </c>
      <c r="D785" s="60">
        <v>8233.6527063745125</v>
      </c>
    </row>
    <row r="786" spans="1:4" x14ac:dyDescent="0.2">
      <c r="A786">
        <v>749</v>
      </c>
      <c r="B786" s="61">
        <v>0.82599861601481095</v>
      </c>
      <c r="C786" s="60">
        <v>6877.2111720981138</v>
      </c>
      <c r="D786" s="60">
        <v>8325.935466185816</v>
      </c>
    </row>
    <row r="787" spans="1:4" x14ac:dyDescent="0.2">
      <c r="A787">
        <v>750</v>
      </c>
      <c r="B787" s="61">
        <v>0.71693765719870939</v>
      </c>
      <c r="C787" s="60">
        <v>7380.3397570642046</v>
      </c>
      <c r="D787" s="60">
        <v>10294.255969063484</v>
      </c>
    </row>
    <row r="788" spans="1:4" x14ac:dyDescent="0.2">
      <c r="A788">
        <v>751</v>
      </c>
      <c r="B788" s="61">
        <v>0.88099177179362531</v>
      </c>
      <c r="C788" s="60">
        <v>6793.2660225721847</v>
      </c>
      <c r="D788" s="60">
        <v>7710.9301585662542</v>
      </c>
    </row>
    <row r="789" spans="1:4" x14ac:dyDescent="0.2">
      <c r="A789">
        <v>752</v>
      </c>
      <c r="B789" s="61">
        <v>1.1013122090961653</v>
      </c>
      <c r="C789" s="60">
        <v>5359.5972581691531</v>
      </c>
      <c r="D789" s="60">
        <v>4866.55574495784</v>
      </c>
    </row>
    <row r="790" spans="1:4" x14ac:dyDescent="0.2">
      <c r="A790">
        <v>753</v>
      </c>
      <c r="B790" s="61">
        <v>0.86606856798596432</v>
      </c>
      <c r="C790" s="60">
        <v>8146.9740111565116</v>
      </c>
      <c r="D790" s="60">
        <v>9406.8464233752711</v>
      </c>
    </row>
    <row r="791" spans="1:4" x14ac:dyDescent="0.2">
      <c r="A791">
        <v>754</v>
      </c>
      <c r="B791" s="61">
        <v>0.74288201024733169</v>
      </c>
      <c r="C791" s="60">
        <v>8630.390153409262</v>
      </c>
      <c r="D791" s="60">
        <v>11617.444001014239</v>
      </c>
    </row>
    <row r="792" spans="1:4" x14ac:dyDescent="0.2">
      <c r="A792">
        <v>755</v>
      </c>
      <c r="B792" s="61">
        <v>1.3130321448375453</v>
      </c>
      <c r="C792" s="60">
        <v>6414.1830071916484</v>
      </c>
      <c r="D792" s="60">
        <v>4885.0159780248505</v>
      </c>
    </row>
    <row r="793" spans="1:4" x14ac:dyDescent="0.2">
      <c r="A793">
        <v>756</v>
      </c>
      <c r="B793" s="61">
        <v>0.77357618298809427</v>
      </c>
      <c r="C793" s="60">
        <v>6209.0041403790892</v>
      </c>
      <c r="D793" s="60">
        <v>8026.3641473494654</v>
      </c>
    </row>
    <row r="794" spans="1:4" x14ac:dyDescent="0.2">
      <c r="A794">
        <v>757</v>
      </c>
      <c r="B794" s="61">
        <v>0.72230596455219764</v>
      </c>
      <c r="C794" s="60">
        <v>6635.0435573014802</v>
      </c>
      <c r="D794" s="60">
        <v>9185.9182713726532</v>
      </c>
    </row>
    <row r="795" spans="1:4" x14ac:dyDescent="0.2">
      <c r="A795">
        <v>758</v>
      </c>
      <c r="B795" s="61">
        <v>1.0480904870008771</v>
      </c>
      <c r="C795" s="60">
        <v>6679.9394581404904</v>
      </c>
      <c r="D795" s="60">
        <v>6373.4377336590596</v>
      </c>
    </row>
    <row r="796" spans="1:4" x14ac:dyDescent="0.2">
      <c r="A796">
        <v>759</v>
      </c>
      <c r="B796" s="61">
        <v>0.76042826379857864</v>
      </c>
      <c r="C796" s="60">
        <v>9450.9516477475663</v>
      </c>
      <c r="D796" s="60">
        <v>12428.45919552896</v>
      </c>
    </row>
    <row r="797" spans="1:4" x14ac:dyDescent="0.2">
      <c r="A797">
        <v>760</v>
      </c>
      <c r="B797" s="61">
        <v>0.83814944230314836</v>
      </c>
      <c r="C797" s="60">
        <v>6205.3602481801154</v>
      </c>
      <c r="D797" s="60">
        <v>7403.6441891894892</v>
      </c>
    </row>
    <row r="798" spans="1:4" x14ac:dyDescent="0.2">
      <c r="A798">
        <v>761</v>
      </c>
      <c r="B798" s="61">
        <v>0.87494299293253963</v>
      </c>
      <c r="C798" s="60">
        <v>6288.9363899075179</v>
      </c>
      <c r="D798" s="60">
        <v>7187.8241676396983</v>
      </c>
    </row>
    <row r="799" spans="1:4" x14ac:dyDescent="0.2">
      <c r="A799">
        <v>762</v>
      </c>
      <c r="B799" s="61">
        <v>1.2109009462143732</v>
      </c>
      <c r="C799" s="60">
        <v>5349.2902062677749</v>
      </c>
      <c r="D799" s="60">
        <v>4417.6117154678959</v>
      </c>
    </row>
    <row r="800" spans="1:4" x14ac:dyDescent="0.2">
      <c r="A800">
        <v>763</v>
      </c>
      <c r="B800" s="61">
        <v>1.0837110341599105</v>
      </c>
      <c r="C800" s="60">
        <v>5993.0673193249186</v>
      </c>
      <c r="D800" s="60">
        <v>5530.1340767197462</v>
      </c>
    </row>
    <row r="801" spans="1:4" x14ac:dyDescent="0.2">
      <c r="A801">
        <v>764</v>
      </c>
      <c r="B801" s="61">
        <v>0.60901117129465909</v>
      </c>
      <c r="C801" s="60">
        <v>6427.3470212203447</v>
      </c>
      <c r="D801" s="60">
        <v>10553.742401074263</v>
      </c>
    </row>
    <row r="802" spans="1:4" x14ac:dyDescent="0.2">
      <c r="A802">
        <v>765</v>
      </c>
      <c r="B802" s="61">
        <v>0.88505071090034448</v>
      </c>
      <c r="C802" s="60">
        <v>8473.9324133074915</v>
      </c>
      <c r="D802" s="60">
        <v>9574.5162496814773</v>
      </c>
    </row>
    <row r="803" spans="1:4" x14ac:dyDescent="0.2">
      <c r="A803">
        <v>766</v>
      </c>
      <c r="B803" s="61">
        <v>0.87872269778238632</v>
      </c>
      <c r="C803" s="60">
        <v>6471.1580585819738</v>
      </c>
      <c r="D803" s="60">
        <v>7364.2778033537734</v>
      </c>
    </row>
    <row r="804" spans="1:4" x14ac:dyDescent="0.2">
      <c r="A804">
        <v>767</v>
      </c>
      <c r="B804" s="61">
        <v>0.68066252520012149</v>
      </c>
      <c r="C804" s="60">
        <v>6638.8976096998449</v>
      </c>
      <c r="D804" s="60">
        <v>9753.581788196645</v>
      </c>
    </row>
    <row r="805" spans="1:4" x14ac:dyDescent="0.2">
      <c r="A805">
        <v>768</v>
      </c>
      <c r="B805" s="61">
        <v>0.46041855364510553</v>
      </c>
      <c r="C805" s="60">
        <v>8329.5947178677106</v>
      </c>
      <c r="D805" s="60">
        <v>18091.353295654179</v>
      </c>
    </row>
    <row r="806" spans="1:4" x14ac:dyDescent="0.2">
      <c r="A806">
        <v>769</v>
      </c>
      <c r="B806" s="61">
        <v>0.80801213807082295</v>
      </c>
      <c r="C806" s="60">
        <v>7353.5597609378929</v>
      </c>
      <c r="D806" s="60">
        <v>9100.8035825983443</v>
      </c>
    </row>
    <row r="807" spans="1:4" x14ac:dyDescent="0.2">
      <c r="A807">
        <v>770</v>
      </c>
      <c r="B807" s="61">
        <v>0.66896558065097445</v>
      </c>
      <c r="C807" s="60">
        <v>6467.4251278528409</v>
      </c>
      <c r="D807" s="60">
        <v>9667.7995324652584</v>
      </c>
    </row>
    <row r="808" spans="1:4" x14ac:dyDescent="0.2">
      <c r="A808">
        <v>771</v>
      </c>
      <c r="B808" s="61">
        <v>0.83621425817629103</v>
      </c>
      <c r="C808" s="60">
        <v>8502.5244942344798</v>
      </c>
      <c r="D808" s="60">
        <v>10167.877922552683</v>
      </c>
    </row>
    <row r="809" spans="1:4" x14ac:dyDescent="0.2">
      <c r="A809">
        <v>772</v>
      </c>
      <c r="B809" s="61">
        <v>0.90743206653238051</v>
      </c>
      <c r="C809" s="60">
        <v>7626.4604773118235</v>
      </c>
      <c r="D809" s="60">
        <v>8404.4423363340375</v>
      </c>
    </row>
    <row r="810" spans="1:4" x14ac:dyDescent="0.2">
      <c r="A810">
        <v>773</v>
      </c>
      <c r="B810" s="61">
        <v>0.87293824247171781</v>
      </c>
      <c r="C810" s="60">
        <v>6359.0228622366658</v>
      </c>
      <c r="D810" s="60">
        <v>7284.6194070168613</v>
      </c>
    </row>
    <row r="811" spans="1:4" x14ac:dyDescent="0.2">
      <c r="A811">
        <v>774</v>
      </c>
      <c r="B811" s="61">
        <v>1.0878386751885643</v>
      </c>
      <c r="C811" s="60">
        <v>8661.0868767333486</v>
      </c>
      <c r="D811" s="60">
        <v>7961.7383296581629</v>
      </c>
    </row>
    <row r="812" spans="1:4" x14ac:dyDescent="0.2">
      <c r="A812">
        <v>775</v>
      </c>
      <c r="B812" s="61">
        <v>0.85571908826958598</v>
      </c>
      <c r="C812" s="60">
        <v>7200.2262878238198</v>
      </c>
      <c r="D812" s="60">
        <v>8414.2405919493267</v>
      </c>
    </row>
    <row r="813" spans="1:4" x14ac:dyDescent="0.2">
      <c r="A813">
        <v>776</v>
      </c>
      <c r="B813" s="61">
        <v>0.75397322196922367</v>
      </c>
      <c r="C813" s="60">
        <v>8583.3783143486235</v>
      </c>
      <c r="D813" s="60">
        <v>11384.195173312119</v>
      </c>
    </row>
    <row r="814" spans="1:4" x14ac:dyDescent="0.2">
      <c r="A814">
        <v>777</v>
      </c>
      <c r="B814" s="61">
        <v>0.75225596079206092</v>
      </c>
      <c r="C814" s="60">
        <v>7738.7708863777989</v>
      </c>
      <c r="D814" s="60">
        <v>10287.417168791242</v>
      </c>
    </row>
    <row r="815" spans="1:4" x14ac:dyDescent="0.2">
      <c r="A815">
        <v>778</v>
      </c>
      <c r="B815" s="61">
        <v>0.92704042881337401</v>
      </c>
      <c r="C815" s="60">
        <v>5593.2959973242469</v>
      </c>
      <c r="D815" s="60">
        <v>6033.4973788400484</v>
      </c>
    </row>
    <row r="816" spans="1:4" x14ac:dyDescent="0.2">
      <c r="A816">
        <v>779</v>
      </c>
      <c r="B816" s="61">
        <v>0.88985108713499539</v>
      </c>
      <c r="C816" s="60">
        <v>7114.5078670182374</v>
      </c>
      <c r="D816" s="60">
        <v>7995.1667979913664</v>
      </c>
    </row>
    <row r="817" spans="1:4" x14ac:dyDescent="0.2">
      <c r="A817">
        <v>780</v>
      </c>
      <c r="B817" s="61">
        <v>0.72323820410745299</v>
      </c>
      <c r="C817" s="60">
        <v>6634.0345123690222</v>
      </c>
      <c r="D817" s="60">
        <v>9172.6826302768022</v>
      </c>
    </row>
    <row r="818" spans="1:4" x14ac:dyDescent="0.2">
      <c r="A818">
        <v>781</v>
      </c>
      <c r="B818" s="62">
        <v>1.2685493094781908</v>
      </c>
      <c r="C818" s="63">
        <v>7382.7308574554463</v>
      </c>
      <c r="D818" s="63">
        <v>5819.8217462215034</v>
      </c>
    </row>
    <row r="819" spans="1:4" x14ac:dyDescent="0.2">
      <c r="A819">
        <v>782</v>
      </c>
      <c r="B819" s="61">
        <v>0.97076432590005357</v>
      </c>
      <c r="C819" s="60">
        <v>7458.4757613751226</v>
      </c>
      <c r="D819" s="60">
        <v>7683.0962597022963</v>
      </c>
    </row>
    <row r="820" spans="1:4" x14ac:dyDescent="0.2">
      <c r="A820">
        <v>783</v>
      </c>
      <c r="B820" s="61">
        <v>1.0911107626566272</v>
      </c>
      <c r="C820" s="60">
        <v>6604.0606716311777</v>
      </c>
      <c r="D820" s="60">
        <v>6052.6033631559703</v>
      </c>
    </row>
    <row r="821" spans="1:4" x14ac:dyDescent="0.2">
      <c r="A821">
        <v>784</v>
      </c>
      <c r="B821" s="61">
        <v>0.72209482008954584</v>
      </c>
      <c r="C821" s="60">
        <v>6071.5945165410903</v>
      </c>
      <c r="D821" s="60">
        <v>8408.3064268320904</v>
      </c>
    </row>
    <row r="822" spans="1:4" x14ac:dyDescent="0.2">
      <c r="A822">
        <v>785</v>
      </c>
      <c r="B822" s="61">
        <v>1.0112614552242229</v>
      </c>
      <c r="C822" s="60">
        <v>5853.3473362185832</v>
      </c>
      <c r="D822" s="60">
        <v>5788.1641844252272</v>
      </c>
    </row>
    <row r="823" spans="1:4" x14ac:dyDescent="0.2">
      <c r="A823">
        <v>786</v>
      </c>
      <c r="B823" s="61">
        <v>0.96725378969009412</v>
      </c>
      <c r="C823" s="60">
        <v>7931.0499610728875</v>
      </c>
      <c r="D823" s="60">
        <v>8199.5542903108999</v>
      </c>
    </row>
    <row r="824" spans="1:4" x14ac:dyDescent="0.2">
      <c r="A824">
        <v>787</v>
      </c>
      <c r="B824" s="61">
        <v>0.78860159962330378</v>
      </c>
      <c r="C824" s="60">
        <v>7662.074645999106</v>
      </c>
      <c r="D824" s="60">
        <v>9716.0272685968393</v>
      </c>
    </row>
    <row r="825" spans="1:4" x14ac:dyDescent="0.2">
      <c r="A825">
        <v>788</v>
      </c>
      <c r="B825" s="61">
        <v>0.90146797535150824</v>
      </c>
      <c r="C825" s="60">
        <v>7658.623562019573</v>
      </c>
      <c r="D825" s="60">
        <v>8495.7244976265029</v>
      </c>
    </row>
    <row r="826" spans="1:4" x14ac:dyDescent="0.2">
      <c r="A826">
        <v>789</v>
      </c>
      <c r="B826" s="61">
        <v>0.700218589707303</v>
      </c>
      <c r="C826" s="60">
        <v>6938.6219345746631</v>
      </c>
      <c r="D826" s="60">
        <v>9909.2226864114855</v>
      </c>
    </row>
    <row r="827" spans="1:4" x14ac:dyDescent="0.2">
      <c r="A827">
        <v>790</v>
      </c>
      <c r="B827" s="61">
        <v>1.0346692874225818</v>
      </c>
      <c r="C827" s="60">
        <v>7681.0468459524127</v>
      </c>
      <c r="D827" s="60">
        <v>7423.6733798161958</v>
      </c>
    </row>
    <row r="828" spans="1:4" x14ac:dyDescent="0.2">
      <c r="A828">
        <v>791</v>
      </c>
      <c r="B828" s="61">
        <v>1.0892547344689074</v>
      </c>
      <c r="C828" s="60">
        <v>8084.4931046012116</v>
      </c>
      <c r="D828" s="60">
        <v>7422.0408218312705</v>
      </c>
    </row>
    <row r="829" spans="1:4" x14ac:dyDescent="0.2">
      <c r="A829">
        <v>792</v>
      </c>
      <c r="B829" s="61">
        <v>0.93532677294056477</v>
      </c>
      <c r="C829" s="60">
        <v>7456.3525350106611</v>
      </c>
      <c r="D829" s="60">
        <v>7971.9224881895625</v>
      </c>
    </row>
    <row r="830" spans="1:4" x14ac:dyDescent="0.2">
      <c r="A830">
        <v>793</v>
      </c>
      <c r="B830" s="61">
        <v>0.5773095336413343</v>
      </c>
      <c r="C830" s="60">
        <v>7020.8655606574594</v>
      </c>
      <c r="D830" s="60">
        <v>12161.353921134654</v>
      </c>
    </row>
    <row r="831" spans="1:4" x14ac:dyDescent="0.2">
      <c r="A831">
        <v>794</v>
      </c>
      <c r="B831" s="61">
        <v>0.86408827404490918</v>
      </c>
      <c r="C831" s="60">
        <v>9158.9652123070136</v>
      </c>
      <c r="D831" s="60">
        <v>10599.571232962937</v>
      </c>
    </row>
    <row r="832" spans="1:4" x14ac:dyDescent="0.2">
      <c r="A832">
        <v>795</v>
      </c>
      <c r="B832" s="61">
        <v>0.80304381992383433</v>
      </c>
      <c r="C832" s="60">
        <v>6189.2129200315321</v>
      </c>
      <c r="D832" s="60">
        <v>7707.1920192581219</v>
      </c>
    </row>
    <row r="833" spans="1:4" x14ac:dyDescent="0.2">
      <c r="A833">
        <v>796</v>
      </c>
      <c r="B833" s="61">
        <v>0.79344387299455921</v>
      </c>
      <c r="C833" s="60">
        <v>4790.1971507383587</v>
      </c>
      <c r="D833" s="60">
        <v>6037.2224347256461</v>
      </c>
    </row>
    <row r="834" spans="1:4" x14ac:dyDescent="0.2">
      <c r="A834">
        <v>797</v>
      </c>
      <c r="B834" s="61">
        <v>1.0036660594589373</v>
      </c>
      <c r="C834" s="60">
        <v>6547.65105912933</v>
      </c>
      <c r="D834" s="60">
        <v>6523.7346599715447</v>
      </c>
    </row>
    <row r="835" spans="1:4" x14ac:dyDescent="0.2">
      <c r="A835">
        <v>798</v>
      </c>
      <c r="B835" s="61">
        <v>0.81916223806802257</v>
      </c>
      <c r="C835" s="60">
        <v>6133.8091173279208</v>
      </c>
      <c r="D835" s="60">
        <v>7487.9051209616109</v>
      </c>
    </row>
    <row r="836" spans="1:4" x14ac:dyDescent="0.2">
      <c r="A836">
        <v>799</v>
      </c>
      <c r="B836" s="61">
        <v>0.9899144023872557</v>
      </c>
      <c r="C836" s="60">
        <v>7487.6418105317643</v>
      </c>
      <c r="D836" s="60">
        <v>7563.9285502612474</v>
      </c>
    </row>
    <row r="837" spans="1:4" x14ac:dyDescent="0.2">
      <c r="A837">
        <v>800</v>
      </c>
      <c r="B837" s="61">
        <v>0.68850100234333844</v>
      </c>
      <c r="C837" s="60">
        <v>8247.0658610441278</v>
      </c>
      <c r="D837" s="60">
        <v>11978.291727934944</v>
      </c>
    </row>
    <row r="838" spans="1:4" x14ac:dyDescent="0.2">
      <c r="A838">
        <v>801</v>
      </c>
      <c r="B838" s="61">
        <v>0.92524395130924653</v>
      </c>
      <c r="C838" s="60">
        <v>7276.9483775391509</v>
      </c>
      <c r="D838" s="60">
        <v>7864.8970006689178</v>
      </c>
    </row>
    <row r="839" spans="1:4" x14ac:dyDescent="0.2">
      <c r="A839">
        <v>802</v>
      </c>
      <c r="B839" s="61">
        <v>1.0587259088900041</v>
      </c>
      <c r="C839" s="60">
        <v>5798.1915560919115</v>
      </c>
      <c r="D839" s="60">
        <v>5476.5747276090442</v>
      </c>
    </row>
    <row r="840" spans="1:4" x14ac:dyDescent="0.2">
      <c r="A840">
        <v>803</v>
      </c>
      <c r="B840" s="61">
        <v>0.63036044537064484</v>
      </c>
      <c r="C840" s="60">
        <v>6538.5205671174845</v>
      </c>
      <c r="D840" s="60">
        <v>10372.669502244717</v>
      </c>
    </row>
    <row r="841" spans="1:4" x14ac:dyDescent="0.2">
      <c r="A841">
        <v>804</v>
      </c>
      <c r="B841" s="61">
        <v>0.86781779776382351</v>
      </c>
      <c r="C841" s="60">
        <v>5719.7145955036294</v>
      </c>
      <c r="D841" s="60">
        <v>6590.9164461043338</v>
      </c>
    </row>
    <row r="842" spans="1:4" x14ac:dyDescent="0.2">
      <c r="A842">
        <v>805</v>
      </c>
      <c r="B842" s="61">
        <v>0.97604382195544304</v>
      </c>
      <c r="C842" s="60">
        <v>6867.2943474763306</v>
      </c>
      <c r="D842" s="60">
        <v>7035.8463349710401</v>
      </c>
    </row>
    <row r="843" spans="1:4" x14ac:dyDescent="0.2">
      <c r="A843">
        <v>806</v>
      </c>
      <c r="B843" s="61">
        <v>0.76267363230533114</v>
      </c>
      <c r="C843" s="60">
        <v>8590.298714293227</v>
      </c>
      <c r="D843" s="60">
        <v>11263.400687299702</v>
      </c>
    </row>
    <row r="844" spans="1:4" x14ac:dyDescent="0.2">
      <c r="A844">
        <v>807</v>
      </c>
      <c r="B844" s="61">
        <v>0.52071332721112817</v>
      </c>
      <c r="C844" s="60">
        <v>8968.3508986837824</v>
      </c>
      <c r="D844" s="60">
        <v>17223.20215370151</v>
      </c>
    </row>
    <row r="845" spans="1:4" x14ac:dyDescent="0.2">
      <c r="A845">
        <v>808</v>
      </c>
      <c r="B845" s="62">
        <v>0.95504398213418806</v>
      </c>
      <c r="C845" s="63">
        <v>8585.917178736885</v>
      </c>
      <c r="D845" s="63">
        <v>8990.0751581622171</v>
      </c>
    </row>
    <row r="846" spans="1:4" x14ac:dyDescent="0.2">
      <c r="A846">
        <v>809</v>
      </c>
      <c r="B846" s="61">
        <v>0.98685584812191962</v>
      </c>
      <c r="C846" s="60">
        <v>7434.1833543378252</v>
      </c>
      <c r="D846" s="60">
        <v>7533.2008909769165</v>
      </c>
    </row>
    <row r="847" spans="1:4" x14ac:dyDescent="0.2">
      <c r="A847">
        <v>810</v>
      </c>
      <c r="B847" s="61">
        <v>0.89464187387807392</v>
      </c>
      <c r="C847" s="60">
        <v>5589.8409338344145</v>
      </c>
      <c r="D847" s="60">
        <v>6248.132461767852</v>
      </c>
    </row>
    <row r="848" spans="1:4" x14ac:dyDescent="0.2">
      <c r="A848">
        <v>811</v>
      </c>
      <c r="B848" s="61">
        <v>0.63350305558426712</v>
      </c>
      <c r="C848" s="60">
        <v>7189.7201175926548</v>
      </c>
      <c r="D848" s="60">
        <v>11349.148286209482</v>
      </c>
    </row>
    <row r="849" spans="1:4" x14ac:dyDescent="0.2">
      <c r="A849">
        <v>812</v>
      </c>
      <c r="B849" s="61">
        <v>0.70846351396729901</v>
      </c>
      <c r="C849" s="60">
        <v>8079.8063047218147</v>
      </c>
      <c r="D849" s="60">
        <v>11404.689367100927</v>
      </c>
    </row>
    <row r="850" spans="1:4" x14ac:dyDescent="0.2">
      <c r="A850">
        <v>813</v>
      </c>
      <c r="B850" s="61">
        <v>1.09501563029173</v>
      </c>
      <c r="C850" s="60">
        <v>7395.6349589743568</v>
      </c>
      <c r="D850" s="60">
        <v>6753.9081218448355</v>
      </c>
    </row>
    <row r="851" spans="1:4" x14ac:dyDescent="0.2">
      <c r="A851">
        <v>814</v>
      </c>
      <c r="B851" s="61">
        <v>0.71550772567430876</v>
      </c>
      <c r="C851" s="60">
        <v>6902.001268994698</v>
      </c>
      <c r="D851" s="60">
        <v>9646.2987349159848</v>
      </c>
    </row>
    <row r="852" spans="1:4" x14ac:dyDescent="0.2">
      <c r="A852">
        <v>815</v>
      </c>
      <c r="B852" s="61">
        <v>0.76371333582089829</v>
      </c>
      <c r="C852" s="60">
        <v>7463.6351796102463</v>
      </c>
      <c r="D852" s="60">
        <v>9772.8229029649629</v>
      </c>
    </row>
    <row r="853" spans="1:4" x14ac:dyDescent="0.2">
      <c r="A853">
        <v>816</v>
      </c>
      <c r="B853" s="61">
        <v>0.79539352944089359</v>
      </c>
      <c r="C853" s="60">
        <v>6819.1970545807608</v>
      </c>
      <c r="D853" s="60">
        <v>8573.362495636824</v>
      </c>
    </row>
    <row r="854" spans="1:4" x14ac:dyDescent="0.2">
      <c r="A854">
        <v>817</v>
      </c>
      <c r="B854" s="61">
        <v>0.94905840372154682</v>
      </c>
      <c r="C854" s="60">
        <v>7631.8823373598825</v>
      </c>
      <c r="D854" s="60">
        <v>8041.5307503025624</v>
      </c>
    </row>
    <row r="855" spans="1:4" x14ac:dyDescent="0.2">
      <c r="A855">
        <v>818</v>
      </c>
      <c r="B855" s="61">
        <v>0.78926876590277928</v>
      </c>
      <c r="C855" s="60">
        <v>7758.6788203964143</v>
      </c>
      <c r="D855" s="60">
        <v>9830.2114001963619</v>
      </c>
    </row>
    <row r="856" spans="1:4" x14ac:dyDescent="0.2">
      <c r="A856">
        <v>819</v>
      </c>
      <c r="B856" s="61">
        <v>0.80168427463400427</v>
      </c>
      <c r="C856" s="60">
        <v>9590.8690067579228</v>
      </c>
      <c r="D856" s="60">
        <v>11963.399196194132</v>
      </c>
    </row>
    <row r="857" spans="1:4" x14ac:dyDescent="0.2">
      <c r="A857">
        <v>820</v>
      </c>
      <c r="B857" s="61">
        <v>0.89300182192578603</v>
      </c>
      <c r="C857" s="60">
        <v>8567.3533054893614</v>
      </c>
      <c r="D857" s="60">
        <v>9593.8811043112983</v>
      </c>
    </row>
    <row r="858" spans="1:4" x14ac:dyDescent="0.2">
      <c r="A858">
        <v>821</v>
      </c>
      <c r="B858" s="61">
        <v>0.67323699413241744</v>
      </c>
      <c r="C858" s="60">
        <v>5953.0535171195943</v>
      </c>
      <c r="D858" s="60">
        <v>8842.4337477044555</v>
      </c>
    </row>
    <row r="859" spans="1:4" x14ac:dyDescent="0.2">
      <c r="A859">
        <v>822</v>
      </c>
      <c r="B859" s="61">
        <v>0.86884736319371125</v>
      </c>
      <c r="C859" s="60">
        <v>6744.5729290668642</v>
      </c>
      <c r="D859" s="60">
        <v>7762.6672011469846</v>
      </c>
    </row>
    <row r="860" spans="1:4" x14ac:dyDescent="0.2">
      <c r="A860">
        <v>823</v>
      </c>
      <c r="B860" s="61">
        <v>1.073934877556324</v>
      </c>
      <c r="C860" s="60">
        <v>6322.447337497455</v>
      </c>
      <c r="D860" s="60">
        <v>5887.1794460049705</v>
      </c>
    </row>
    <row r="861" spans="1:4" x14ac:dyDescent="0.2">
      <c r="A861">
        <v>824</v>
      </c>
      <c r="B861" s="61">
        <v>1.0898766088380523</v>
      </c>
      <c r="C861" s="60">
        <v>6710.526375427834</v>
      </c>
      <c r="D861" s="60">
        <v>6157.1432224626906</v>
      </c>
    </row>
    <row r="862" spans="1:4" x14ac:dyDescent="0.2">
      <c r="A862">
        <v>825</v>
      </c>
      <c r="B862" s="61">
        <v>1.0806537495964177</v>
      </c>
      <c r="C862" s="60">
        <v>9202.4915826401702</v>
      </c>
      <c r="D862" s="60">
        <v>8515.6708021204249</v>
      </c>
    </row>
    <row r="863" spans="1:4" x14ac:dyDescent="0.2">
      <c r="A863">
        <v>826</v>
      </c>
      <c r="B863" s="61">
        <v>0.83173469468411731</v>
      </c>
      <c r="C863" s="60">
        <v>6940.2051002802073</v>
      </c>
      <c r="D863" s="60">
        <v>8344.2534556238661</v>
      </c>
    </row>
    <row r="864" spans="1:4" x14ac:dyDescent="0.2">
      <c r="A864">
        <v>827</v>
      </c>
      <c r="B864" s="61">
        <v>0.89394376504135842</v>
      </c>
      <c r="C864" s="60">
        <v>7286.3090562502912</v>
      </c>
      <c r="D864" s="60">
        <v>8150.7465471423575</v>
      </c>
    </row>
    <row r="865" spans="1:4" x14ac:dyDescent="0.2">
      <c r="A865">
        <v>828</v>
      </c>
      <c r="B865" s="61">
        <v>0.96020498412803779</v>
      </c>
      <c r="C865" s="60">
        <v>7452.1878720339628</v>
      </c>
      <c r="D865" s="60">
        <v>7761.0385232495901</v>
      </c>
    </row>
    <row r="866" spans="1:4" x14ac:dyDescent="0.2">
      <c r="A866">
        <v>829</v>
      </c>
      <c r="B866" s="61">
        <v>0.66342482301864436</v>
      </c>
      <c r="C866" s="60">
        <v>6729.1004503028671</v>
      </c>
      <c r="D866" s="60">
        <v>10142.973577149009</v>
      </c>
    </row>
    <row r="867" spans="1:4" x14ac:dyDescent="0.2">
      <c r="A867">
        <v>830</v>
      </c>
      <c r="B867" s="61">
        <v>0.93090645650475867</v>
      </c>
      <c r="C867" s="60">
        <v>4962.6130033264235</v>
      </c>
      <c r="D867" s="60">
        <v>5330.9470233554612</v>
      </c>
    </row>
    <row r="868" spans="1:4" x14ac:dyDescent="0.2">
      <c r="A868">
        <v>831</v>
      </c>
      <c r="B868" s="61">
        <v>0.61846852953097731</v>
      </c>
      <c r="C868" s="60">
        <v>5621.2795890467487</v>
      </c>
      <c r="D868" s="60">
        <v>9089.0309217668855</v>
      </c>
    </row>
    <row r="869" spans="1:4" x14ac:dyDescent="0.2">
      <c r="A869">
        <v>832</v>
      </c>
      <c r="B869" s="61">
        <v>0.94292789209097894</v>
      </c>
      <c r="C869" s="60">
        <v>6758.8700563798429</v>
      </c>
      <c r="D869" s="60">
        <v>7167.9606819051542</v>
      </c>
    </row>
    <row r="870" spans="1:4" x14ac:dyDescent="0.2">
      <c r="A870">
        <v>833</v>
      </c>
      <c r="B870" s="61">
        <v>0.72532876532859447</v>
      </c>
      <c r="C870" s="60">
        <v>7844.5988383924105</v>
      </c>
      <c r="D870" s="60">
        <v>10815.231951870246</v>
      </c>
    </row>
    <row r="871" spans="1:4" x14ac:dyDescent="0.2">
      <c r="A871">
        <v>834</v>
      </c>
      <c r="B871" s="61">
        <v>0.7792709425048514</v>
      </c>
      <c r="C871" s="60">
        <v>6152.2467175498114</v>
      </c>
      <c r="D871" s="60">
        <v>7894.8750453524199</v>
      </c>
    </row>
    <row r="872" spans="1:4" x14ac:dyDescent="0.2">
      <c r="A872">
        <v>835</v>
      </c>
      <c r="B872" s="61">
        <v>0.89964970413947221</v>
      </c>
      <c r="C872" s="60">
        <v>6088.3401781206576</v>
      </c>
      <c r="D872" s="60">
        <v>6767.4564334395482</v>
      </c>
    </row>
    <row r="873" spans="1:4" x14ac:dyDescent="0.2">
      <c r="A873">
        <v>836</v>
      </c>
      <c r="B873" s="61">
        <v>0.85939424012567578</v>
      </c>
      <c r="C873" s="60">
        <v>7647.4965496796267</v>
      </c>
      <c r="D873" s="60">
        <v>8898.7058472270819</v>
      </c>
    </row>
    <row r="874" spans="1:4" x14ac:dyDescent="0.2">
      <c r="A874">
        <v>837</v>
      </c>
      <c r="B874" s="61">
        <v>0.75666395707278689</v>
      </c>
      <c r="C874" s="60">
        <v>8957.852470517968</v>
      </c>
      <c r="D874" s="60">
        <v>11838.613940555744</v>
      </c>
    </row>
    <row r="875" spans="1:4" x14ac:dyDescent="0.2">
      <c r="A875">
        <v>838</v>
      </c>
      <c r="B875" s="61">
        <v>1.0177853639651069</v>
      </c>
      <c r="C875" s="60">
        <v>5900.8996962179008</v>
      </c>
      <c r="D875" s="60">
        <v>5797.783997628997</v>
      </c>
    </row>
    <row r="876" spans="1:4" x14ac:dyDescent="0.2">
      <c r="A876">
        <v>839</v>
      </c>
      <c r="B876" s="61">
        <v>0.83517689549229601</v>
      </c>
      <c r="C876" s="60">
        <v>7629.2722719503236</v>
      </c>
      <c r="D876" s="60">
        <v>9134.9177798473938</v>
      </c>
    </row>
    <row r="877" spans="1:4" x14ac:dyDescent="0.2">
      <c r="A877">
        <v>840</v>
      </c>
      <c r="B877" s="61">
        <v>0.80316842251019516</v>
      </c>
      <c r="C877" s="60">
        <v>5115.2760116150239</v>
      </c>
      <c r="D877" s="60">
        <v>6368.8709220264345</v>
      </c>
    </row>
    <row r="878" spans="1:4" x14ac:dyDescent="0.2">
      <c r="A878">
        <v>841</v>
      </c>
      <c r="B878" s="61">
        <v>0.80613555838191786</v>
      </c>
      <c r="C878" s="60">
        <v>7063.3867273035703</v>
      </c>
      <c r="D878" s="60">
        <v>8762.0334494129747</v>
      </c>
    </row>
    <row r="879" spans="1:4" x14ac:dyDescent="0.2">
      <c r="A879">
        <v>842</v>
      </c>
      <c r="B879" s="61">
        <v>0.89812452936851273</v>
      </c>
      <c r="C879" s="60">
        <v>7415.8616806791706</v>
      </c>
      <c r="D879" s="60">
        <v>8257.0528230571708</v>
      </c>
    </row>
    <row r="880" spans="1:4" x14ac:dyDescent="0.2">
      <c r="A880">
        <v>843</v>
      </c>
      <c r="B880" s="61">
        <v>0.99579527450095462</v>
      </c>
      <c r="C880" s="60">
        <v>6029.1501515121581</v>
      </c>
      <c r="D880" s="60">
        <v>6054.6081166469503</v>
      </c>
    </row>
    <row r="881" spans="1:4" x14ac:dyDescent="0.2">
      <c r="A881">
        <v>844</v>
      </c>
      <c r="B881" s="61">
        <v>1.0784362203209588</v>
      </c>
      <c r="C881" s="60">
        <v>6066.4300268135048</v>
      </c>
      <c r="D881" s="60">
        <v>5625.2098292915689</v>
      </c>
    </row>
    <row r="882" spans="1:4" x14ac:dyDescent="0.2">
      <c r="A882">
        <v>845</v>
      </c>
      <c r="B882" s="61">
        <v>0.91363983856827868</v>
      </c>
      <c r="C882" s="60">
        <v>6383.9467029708521</v>
      </c>
      <c r="D882" s="60">
        <v>6987.3777756613918</v>
      </c>
    </row>
    <row r="883" spans="1:4" x14ac:dyDescent="0.2">
      <c r="A883">
        <v>846</v>
      </c>
      <c r="B883" s="61">
        <v>0.91098810808125563</v>
      </c>
      <c r="C883" s="60">
        <v>5790.7431236628818</v>
      </c>
      <c r="D883" s="60">
        <v>6356.5518279480948</v>
      </c>
    </row>
    <row r="884" spans="1:4" x14ac:dyDescent="0.2">
      <c r="A884">
        <v>847</v>
      </c>
      <c r="B884" s="61">
        <v>0.69612107273274049</v>
      </c>
      <c r="C884" s="60">
        <v>7092.5562657608334</v>
      </c>
      <c r="D884" s="60">
        <v>10188.682031873866</v>
      </c>
    </row>
    <row r="885" spans="1:4" x14ac:dyDescent="0.2">
      <c r="A885">
        <v>848</v>
      </c>
      <c r="B885" s="61">
        <v>0.82474329142253211</v>
      </c>
      <c r="C885" s="60">
        <v>8216.2657705165711</v>
      </c>
      <c r="D885" s="60">
        <v>9962.2098851449973</v>
      </c>
    </row>
    <row r="886" spans="1:4" x14ac:dyDescent="0.2">
      <c r="A886">
        <v>849</v>
      </c>
      <c r="B886" s="61">
        <v>0.9676387373701969</v>
      </c>
      <c r="C886" s="60">
        <v>6275.6119533347155</v>
      </c>
      <c r="D886" s="60">
        <v>6485.4906185238915</v>
      </c>
    </row>
    <row r="887" spans="1:4" x14ac:dyDescent="0.2">
      <c r="A887">
        <v>850</v>
      </c>
      <c r="B887" s="61">
        <v>0.90167451534474985</v>
      </c>
      <c r="C887" s="60">
        <v>7232.9884679729466</v>
      </c>
      <c r="D887" s="60">
        <v>8021.7288443684765</v>
      </c>
    </row>
    <row r="888" spans="1:4" x14ac:dyDescent="0.2">
      <c r="A888">
        <v>851</v>
      </c>
      <c r="B888" s="61">
        <v>1.1324420858411681</v>
      </c>
      <c r="C888" s="60">
        <v>5933.9239627000188</v>
      </c>
      <c r="D888" s="60">
        <v>5239.9359198067523</v>
      </c>
    </row>
    <row r="889" spans="1:4" x14ac:dyDescent="0.2">
      <c r="A889">
        <v>852</v>
      </c>
      <c r="B889" s="62">
        <v>0.80332804598376306</v>
      </c>
      <c r="C889" s="63">
        <v>7526.9735141208985</v>
      </c>
      <c r="D889" s="63">
        <v>9369.7382429905028</v>
      </c>
    </row>
    <row r="890" spans="1:4" x14ac:dyDescent="0.2">
      <c r="A890">
        <v>853</v>
      </c>
      <c r="B890" s="61">
        <v>0.71385597832113135</v>
      </c>
      <c r="C890" s="60">
        <v>8039.8465746692973</v>
      </c>
      <c r="D890" s="60">
        <v>11262.56110312007</v>
      </c>
    </row>
    <row r="891" spans="1:4" x14ac:dyDescent="0.2">
      <c r="A891">
        <v>854</v>
      </c>
      <c r="B891" s="61">
        <v>1.1456180180629527</v>
      </c>
      <c r="C891" s="60">
        <v>6499.9185124315663</v>
      </c>
      <c r="D891" s="60">
        <v>5673.7223140238621</v>
      </c>
    </row>
    <row r="892" spans="1:4" x14ac:dyDescent="0.2">
      <c r="A892">
        <v>855</v>
      </c>
      <c r="B892" s="61">
        <v>0.77553921569558071</v>
      </c>
      <c r="C892" s="60">
        <v>7889.9155361125931</v>
      </c>
      <c r="D892" s="60">
        <v>10173.457868324727</v>
      </c>
    </row>
    <row r="893" spans="1:4" x14ac:dyDescent="0.2">
      <c r="A893">
        <v>856</v>
      </c>
      <c r="B893" s="61">
        <v>0.86985298177404502</v>
      </c>
      <c r="C893" s="60">
        <v>6044.5837372122242</v>
      </c>
      <c r="D893" s="60">
        <v>6948.9716812655352</v>
      </c>
    </row>
    <row r="894" spans="1:4" x14ac:dyDescent="0.2">
      <c r="A894">
        <v>857</v>
      </c>
      <c r="B894" s="61">
        <v>0.74768353929311004</v>
      </c>
      <c r="C894" s="60">
        <v>8692.5572759986353</v>
      </c>
      <c r="D894" s="60">
        <v>11625.984549849696</v>
      </c>
    </row>
    <row r="895" spans="1:4" x14ac:dyDescent="0.2">
      <c r="A895">
        <v>858</v>
      </c>
      <c r="B895" s="61">
        <v>0.68002754476817007</v>
      </c>
      <c r="C895" s="60">
        <v>8456.3718570344718</v>
      </c>
      <c r="D895" s="60">
        <v>12435.337247871857</v>
      </c>
    </row>
    <row r="896" spans="1:4" x14ac:dyDescent="0.2">
      <c r="A896">
        <v>859</v>
      </c>
      <c r="B896" s="61">
        <v>0.79024448224126154</v>
      </c>
      <c r="C896" s="60">
        <v>6188.0484275944436</v>
      </c>
      <c r="D896" s="60">
        <v>7830.5493637160671</v>
      </c>
    </row>
    <row r="897" spans="1:4" x14ac:dyDescent="0.2">
      <c r="A897">
        <v>860</v>
      </c>
      <c r="B897" s="61">
        <v>0.97307572303861178</v>
      </c>
      <c r="C897" s="60">
        <v>5397.5043857261535</v>
      </c>
      <c r="D897" s="60">
        <v>5546.8492923360909</v>
      </c>
    </row>
    <row r="898" spans="1:4" x14ac:dyDescent="0.2">
      <c r="A898">
        <v>861</v>
      </c>
      <c r="B898" s="61">
        <v>0.82377895137656765</v>
      </c>
      <c r="C898" s="60">
        <v>7456.7801258776672</v>
      </c>
      <c r="D898" s="60">
        <v>9051.9187379297437</v>
      </c>
    </row>
    <row r="899" spans="1:4" x14ac:dyDescent="0.2">
      <c r="A899">
        <v>862</v>
      </c>
      <c r="B899" s="61">
        <v>1.0370801651924992</v>
      </c>
      <c r="C899" s="60">
        <v>7139.43158472916</v>
      </c>
      <c r="D899" s="60">
        <v>6884.1655875309925</v>
      </c>
    </row>
    <row r="900" spans="1:4" x14ac:dyDescent="0.2">
      <c r="A900">
        <v>863</v>
      </c>
      <c r="B900" s="61">
        <v>0.87491930819309882</v>
      </c>
      <c r="C900" s="60">
        <v>6413.0220894238482</v>
      </c>
      <c r="D900" s="60">
        <v>7329.8440546113352</v>
      </c>
    </row>
    <row r="901" spans="1:4" x14ac:dyDescent="0.2">
      <c r="A901">
        <v>864</v>
      </c>
      <c r="B901" s="61">
        <v>1.0477397479441093</v>
      </c>
      <c r="C901" s="60">
        <v>6514.4882817195685</v>
      </c>
      <c r="D901" s="60">
        <v>6217.658816993815</v>
      </c>
    </row>
    <row r="902" spans="1:4" x14ac:dyDescent="0.2">
      <c r="A902">
        <v>865</v>
      </c>
      <c r="B902" s="61">
        <v>0.93553598525766191</v>
      </c>
      <c r="C902" s="60">
        <v>9338.4738439359498</v>
      </c>
      <c r="D902" s="60">
        <v>9981.9504445507573</v>
      </c>
    </row>
    <row r="903" spans="1:4" x14ac:dyDescent="0.2">
      <c r="A903">
        <v>866</v>
      </c>
      <c r="B903" s="61">
        <v>1.0076495340771547</v>
      </c>
      <c r="C903" s="60">
        <v>6233.4799790532925</v>
      </c>
      <c r="D903" s="60">
        <v>6186.1587469120996</v>
      </c>
    </row>
    <row r="904" spans="1:4" x14ac:dyDescent="0.2">
      <c r="A904">
        <v>867</v>
      </c>
      <c r="B904" s="61">
        <v>0.69496713608701732</v>
      </c>
      <c r="C904" s="60">
        <v>7990.8805801538929</v>
      </c>
      <c r="D904" s="60">
        <v>11498.21360639613</v>
      </c>
    </row>
    <row r="905" spans="1:4" x14ac:dyDescent="0.2">
      <c r="A905">
        <v>868</v>
      </c>
      <c r="B905" s="61">
        <v>0.78092758817130559</v>
      </c>
      <c r="C905" s="60">
        <v>9443.0106583542492</v>
      </c>
      <c r="D905" s="60">
        <v>12092.043873705246</v>
      </c>
    </row>
    <row r="906" spans="1:4" x14ac:dyDescent="0.2">
      <c r="A906">
        <v>869</v>
      </c>
      <c r="B906" s="61">
        <v>1.023757099034496</v>
      </c>
      <c r="C906" s="60">
        <v>7817.716049724695</v>
      </c>
      <c r="D906" s="60">
        <v>7636.2997209959012</v>
      </c>
    </row>
    <row r="907" spans="1:4" x14ac:dyDescent="0.2">
      <c r="A907">
        <v>870</v>
      </c>
      <c r="B907" s="61">
        <v>0.94919700381527861</v>
      </c>
      <c r="C907" s="60">
        <v>7712.83679323469</v>
      </c>
      <c r="D907" s="60">
        <v>8125.6438465704114</v>
      </c>
    </row>
    <row r="908" spans="1:4" x14ac:dyDescent="0.2">
      <c r="A908">
        <v>871</v>
      </c>
      <c r="B908" s="62">
        <v>0.82121360124129961</v>
      </c>
      <c r="C908" s="63">
        <v>7345.0943950743203</v>
      </c>
      <c r="D908" s="63">
        <v>8944.1947673198483</v>
      </c>
    </row>
    <row r="909" spans="1:4" x14ac:dyDescent="0.2">
      <c r="A909">
        <v>872</v>
      </c>
      <c r="B909" s="61">
        <v>1.1743418929964218</v>
      </c>
      <c r="C909" s="60">
        <v>7694.1959888818965</v>
      </c>
      <c r="D909" s="60">
        <v>6551.921578178205</v>
      </c>
    </row>
    <row r="910" spans="1:4" x14ac:dyDescent="0.2">
      <c r="A910">
        <v>873</v>
      </c>
      <c r="B910" s="61">
        <v>0.76482579702110787</v>
      </c>
      <c r="C910" s="60">
        <v>5922.2847247597056</v>
      </c>
      <c r="D910" s="60">
        <v>7743.3119382560008</v>
      </c>
    </row>
    <row r="911" spans="1:4" x14ac:dyDescent="0.2">
      <c r="A911">
        <v>874</v>
      </c>
      <c r="B911" s="61">
        <v>0.94245467090295598</v>
      </c>
      <c r="C911" s="60">
        <v>6878.9567982793233</v>
      </c>
      <c r="D911" s="60">
        <v>7298.9789436649153</v>
      </c>
    </row>
    <row r="912" spans="1:4" x14ac:dyDescent="0.2">
      <c r="A912">
        <v>875</v>
      </c>
      <c r="B912" s="61">
        <v>0.71112686999650521</v>
      </c>
      <c r="C912" s="60">
        <v>6187.2297008206369</v>
      </c>
      <c r="D912" s="60">
        <v>8700.598953392162</v>
      </c>
    </row>
    <row r="913" spans="1:4" x14ac:dyDescent="0.2">
      <c r="A913">
        <v>876</v>
      </c>
      <c r="B913" s="61">
        <v>0.62769713743429101</v>
      </c>
      <c r="C913" s="60">
        <v>7549.1726014511787</v>
      </c>
      <c r="D913" s="60">
        <v>12026.775575731292</v>
      </c>
    </row>
    <row r="914" spans="1:4" x14ac:dyDescent="0.2">
      <c r="A914">
        <v>877</v>
      </c>
      <c r="B914" s="61">
        <v>0.78106920912449063</v>
      </c>
      <c r="C914" s="60">
        <v>8332.4996892650197</v>
      </c>
      <c r="D914" s="60">
        <v>10668.068324707119</v>
      </c>
    </row>
    <row r="915" spans="1:4" x14ac:dyDescent="0.2">
      <c r="A915">
        <v>878</v>
      </c>
      <c r="B915" s="61">
        <v>0.70531959018632318</v>
      </c>
      <c r="C915" s="60">
        <v>7327.9983898959817</v>
      </c>
      <c r="D915" s="60">
        <v>10389.614143512101</v>
      </c>
    </row>
    <row r="916" spans="1:4" x14ac:dyDescent="0.2">
      <c r="A916">
        <v>879</v>
      </c>
      <c r="B916" s="61">
        <v>0.94694879903636142</v>
      </c>
      <c r="C916" s="60">
        <v>5632.7972826257901</v>
      </c>
      <c r="D916" s="60">
        <v>5948.3652002704521</v>
      </c>
    </row>
    <row r="917" spans="1:4" x14ac:dyDescent="0.2">
      <c r="A917">
        <v>880</v>
      </c>
      <c r="B917" s="61">
        <v>0.85542629847072682</v>
      </c>
      <c r="C917" s="60">
        <v>6185.4746077336385</v>
      </c>
      <c r="D917" s="60">
        <v>7230.8679529628807</v>
      </c>
    </row>
    <row r="918" spans="1:4" x14ac:dyDescent="0.2">
      <c r="A918">
        <v>881</v>
      </c>
      <c r="B918" s="61">
        <v>1.0992744576993072</v>
      </c>
      <c r="C918" s="60">
        <v>7129.660939799207</v>
      </c>
      <c r="D918" s="60">
        <v>6485.787866590671</v>
      </c>
    </row>
    <row r="919" spans="1:4" x14ac:dyDescent="0.2">
      <c r="A919">
        <v>882</v>
      </c>
      <c r="B919" s="61">
        <v>0.81495691055523345</v>
      </c>
      <c r="C919" s="60">
        <v>7220.4691811304438</v>
      </c>
      <c r="D919" s="60">
        <v>8859.9398171997946</v>
      </c>
    </row>
    <row r="920" spans="1:4" x14ac:dyDescent="0.2">
      <c r="A920">
        <v>883</v>
      </c>
      <c r="B920" s="61">
        <v>0.63964969542175076</v>
      </c>
      <c r="C920" s="60">
        <v>9458.4018180207404</v>
      </c>
      <c r="D920" s="60">
        <v>14786.846434413412</v>
      </c>
    </row>
    <row r="921" spans="1:4" x14ac:dyDescent="0.2">
      <c r="A921">
        <v>884</v>
      </c>
      <c r="B921" s="61">
        <v>0.62279706420816083</v>
      </c>
      <c r="C921" s="60">
        <v>6306.9640845088652</v>
      </c>
      <c r="D921" s="60">
        <v>10126.836568389563</v>
      </c>
    </row>
    <row r="922" spans="1:4" x14ac:dyDescent="0.2">
      <c r="A922">
        <v>885</v>
      </c>
      <c r="B922" s="61">
        <v>0.76126161845127527</v>
      </c>
      <c r="C922" s="60">
        <v>8461.169423428355</v>
      </c>
      <c r="D922" s="60">
        <v>11114.667045268767</v>
      </c>
    </row>
    <row r="923" spans="1:4" x14ac:dyDescent="0.2">
      <c r="A923">
        <v>886</v>
      </c>
      <c r="B923" s="61">
        <v>1.1390669459576301</v>
      </c>
      <c r="C923" s="60">
        <v>6507.1112168899617</v>
      </c>
      <c r="D923" s="60">
        <v>5712.6679340337969</v>
      </c>
    </row>
    <row r="924" spans="1:4" x14ac:dyDescent="0.2">
      <c r="A924">
        <v>887</v>
      </c>
      <c r="B924" s="61">
        <v>1.0267206196925427</v>
      </c>
      <c r="C924" s="60">
        <v>5458.7139123860679</v>
      </c>
      <c r="D924" s="60">
        <v>5316.6497367323846</v>
      </c>
    </row>
    <row r="925" spans="1:4" x14ac:dyDescent="0.2">
      <c r="A925">
        <v>888</v>
      </c>
      <c r="B925" s="61">
        <v>0.96391796233871041</v>
      </c>
      <c r="C925" s="60">
        <v>6406.9003858372125</v>
      </c>
      <c r="D925" s="60">
        <v>6646.7278712105754</v>
      </c>
    </row>
    <row r="926" spans="1:4" x14ac:dyDescent="0.2">
      <c r="A926">
        <v>889</v>
      </c>
      <c r="B926" s="61">
        <v>0.88520677877819587</v>
      </c>
      <c r="C926" s="60">
        <v>6709.7191643723208</v>
      </c>
      <c r="D926" s="60">
        <v>7579.8325602899149</v>
      </c>
    </row>
    <row r="927" spans="1:4" x14ac:dyDescent="0.2">
      <c r="A927">
        <v>890</v>
      </c>
      <c r="B927" s="61">
        <v>1.0117403648822023</v>
      </c>
      <c r="C927" s="60">
        <v>8104.6042923254881</v>
      </c>
      <c r="D927" s="60">
        <v>8010.5574252432971</v>
      </c>
    </row>
    <row r="928" spans="1:4" x14ac:dyDescent="0.2">
      <c r="A928">
        <v>891</v>
      </c>
      <c r="B928" s="62">
        <v>0.61368071045852091</v>
      </c>
      <c r="C928" s="63">
        <v>7649.0904855688623</v>
      </c>
      <c r="D928" s="63">
        <v>12464.28371498548</v>
      </c>
    </row>
    <row r="929" spans="1:4" x14ac:dyDescent="0.2">
      <c r="A929">
        <v>892</v>
      </c>
      <c r="B929" s="61">
        <v>1.1458258746493781</v>
      </c>
      <c r="C929" s="60">
        <v>6718.7861478641407</v>
      </c>
      <c r="D929" s="60">
        <v>5863.7060800534673</v>
      </c>
    </row>
    <row r="930" spans="1:4" x14ac:dyDescent="0.2">
      <c r="A930">
        <v>893</v>
      </c>
      <c r="B930" s="61">
        <v>0.69892865002371352</v>
      </c>
      <c r="C930" s="60">
        <v>6277.5286443127752</v>
      </c>
      <c r="D930" s="60">
        <v>8981.6444698608211</v>
      </c>
    </row>
    <row r="931" spans="1:4" x14ac:dyDescent="0.2">
      <c r="A931">
        <v>894</v>
      </c>
      <c r="B931" s="61">
        <v>0.76188181736769955</v>
      </c>
      <c r="C931" s="60">
        <v>6578.18345917638</v>
      </c>
      <c r="D931" s="60">
        <v>8634.1258043196158</v>
      </c>
    </row>
    <row r="932" spans="1:4" x14ac:dyDescent="0.2">
      <c r="A932">
        <v>895</v>
      </c>
      <c r="B932" s="61">
        <v>1.088675343963029</v>
      </c>
      <c r="C932" s="60">
        <v>7782.7531059599605</v>
      </c>
      <c r="D932" s="60">
        <v>7148.8282977264334</v>
      </c>
    </row>
    <row r="933" spans="1:4" x14ac:dyDescent="0.2">
      <c r="A933">
        <v>896</v>
      </c>
      <c r="B933" s="61">
        <v>1.1536848382195259</v>
      </c>
      <c r="C933" s="60">
        <v>6800.0315790366603</v>
      </c>
      <c r="D933" s="60">
        <v>5894.1847493905734</v>
      </c>
    </row>
    <row r="934" spans="1:4" x14ac:dyDescent="0.2">
      <c r="A934">
        <v>897</v>
      </c>
      <c r="B934" s="61">
        <v>0.82723838329338228</v>
      </c>
      <c r="C934" s="60">
        <v>7999.7105227929969</v>
      </c>
      <c r="D934" s="60">
        <v>9670.3812158047294</v>
      </c>
    </row>
    <row r="935" spans="1:4" x14ac:dyDescent="0.2">
      <c r="A935">
        <v>898</v>
      </c>
      <c r="B935" s="61">
        <v>0.99897310318747579</v>
      </c>
      <c r="C935" s="60">
        <v>8079.7716919891864</v>
      </c>
      <c r="D935" s="60">
        <v>8088.0773128011515</v>
      </c>
    </row>
    <row r="936" spans="1:4" x14ac:dyDescent="0.2">
      <c r="A936">
        <v>899</v>
      </c>
      <c r="B936" s="61">
        <v>0.55844852889951646</v>
      </c>
      <c r="C936" s="60">
        <v>7198.2114760583227</v>
      </c>
      <c r="D936" s="60">
        <v>12889.659661640046</v>
      </c>
    </row>
    <row r="937" spans="1:4" x14ac:dyDescent="0.2">
      <c r="A937">
        <v>900</v>
      </c>
      <c r="B937" s="61">
        <v>0.80138816118833489</v>
      </c>
      <c r="C937" s="60">
        <v>6996.5617440589249</v>
      </c>
      <c r="D937" s="60">
        <v>8730.552911692761</v>
      </c>
    </row>
    <row r="938" spans="1:4" x14ac:dyDescent="0.2">
      <c r="A938">
        <v>901</v>
      </c>
      <c r="B938" s="62">
        <v>0.64434214525006972</v>
      </c>
      <c r="C938" s="63">
        <v>8327.3986485763453</v>
      </c>
      <c r="D938" s="63">
        <v>12923.877027079263</v>
      </c>
    </row>
    <row r="939" spans="1:4" x14ac:dyDescent="0.2">
      <c r="A939">
        <v>902</v>
      </c>
      <c r="B939" s="61">
        <v>0.82254394680150966</v>
      </c>
      <c r="C939" s="60">
        <v>6420.1664864695322</v>
      </c>
      <c r="D939" s="60">
        <v>7805.2564989804732</v>
      </c>
    </row>
    <row r="940" spans="1:4" x14ac:dyDescent="0.2">
      <c r="A940">
        <v>903</v>
      </c>
      <c r="B940" s="61">
        <v>0.94302333938433236</v>
      </c>
      <c r="C940" s="60">
        <v>6506.2317060441364</v>
      </c>
      <c r="D940" s="60">
        <v>6899.3326403690417</v>
      </c>
    </row>
    <row r="941" spans="1:4" x14ac:dyDescent="0.2">
      <c r="A941">
        <v>904</v>
      </c>
      <c r="B941" s="61">
        <v>0.72749127544107495</v>
      </c>
      <c r="C941" s="60">
        <v>5663.1348075358164</v>
      </c>
      <c r="D941" s="60">
        <v>7784.4710977492905</v>
      </c>
    </row>
    <row r="942" spans="1:4" x14ac:dyDescent="0.2">
      <c r="A942">
        <v>905</v>
      </c>
      <c r="B942" s="61">
        <v>0.74448712573851683</v>
      </c>
      <c r="C942" s="60">
        <v>5833.4587821651967</v>
      </c>
      <c r="D942" s="60">
        <v>7835.540173214572</v>
      </c>
    </row>
    <row r="943" spans="1:4" x14ac:dyDescent="0.2">
      <c r="A943">
        <v>906</v>
      </c>
      <c r="B943" s="61">
        <v>0.73492105870735891</v>
      </c>
      <c r="C943" s="60">
        <v>8869.4882286675784</v>
      </c>
      <c r="D943" s="60">
        <v>12068.627131556119</v>
      </c>
    </row>
    <row r="944" spans="1:4" x14ac:dyDescent="0.2">
      <c r="A944">
        <v>907</v>
      </c>
      <c r="B944" s="61">
        <v>1.0573963187033524</v>
      </c>
      <c r="C944" s="60">
        <v>5775.2380731993217</v>
      </c>
      <c r="D944" s="60">
        <v>5461.7535270798853</v>
      </c>
    </row>
    <row r="945" spans="1:4" x14ac:dyDescent="0.2">
      <c r="A945">
        <v>908</v>
      </c>
      <c r="B945" s="61">
        <v>0.89441762449135709</v>
      </c>
      <c r="C945" s="60">
        <v>7025.7171201133206</v>
      </c>
      <c r="D945" s="60">
        <v>7855.0745510060233</v>
      </c>
    </row>
    <row r="946" spans="1:4" x14ac:dyDescent="0.2">
      <c r="A946">
        <v>909</v>
      </c>
      <c r="B946" s="61">
        <v>0.70147930964426219</v>
      </c>
      <c r="C946" s="60">
        <v>8100.4321477047451</v>
      </c>
      <c r="D946" s="60">
        <v>11547.642298691144</v>
      </c>
    </row>
    <row r="947" spans="1:4" x14ac:dyDescent="0.2">
      <c r="A947">
        <v>910</v>
      </c>
      <c r="B947" s="61">
        <v>1.0366110265092363</v>
      </c>
      <c r="C947" s="60">
        <v>7602.351327951641</v>
      </c>
      <c r="D947" s="60">
        <v>7333.8514964020624</v>
      </c>
    </row>
    <row r="948" spans="1:4" x14ac:dyDescent="0.2">
      <c r="A948">
        <v>911</v>
      </c>
      <c r="B948" s="61">
        <v>0.78716948497791073</v>
      </c>
      <c r="C948" s="60">
        <v>5079.9147956527713</v>
      </c>
      <c r="D948" s="60">
        <v>6453.3939546644415</v>
      </c>
    </row>
    <row r="949" spans="1:4" x14ac:dyDescent="0.2">
      <c r="A949">
        <v>912</v>
      </c>
      <c r="B949" s="61">
        <v>0.73724076531548555</v>
      </c>
      <c r="C949" s="60">
        <v>7226.5218468673411</v>
      </c>
      <c r="D949" s="60">
        <v>9802.1191812079378</v>
      </c>
    </row>
    <row r="950" spans="1:4" x14ac:dyDescent="0.2">
      <c r="A950">
        <v>913</v>
      </c>
      <c r="B950" s="61">
        <v>0.89436667161832695</v>
      </c>
      <c r="C950" s="60">
        <v>7237.3497840601012</v>
      </c>
      <c r="D950" s="60">
        <v>8092.1505840153413</v>
      </c>
    </row>
    <row r="951" spans="1:4" x14ac:dyDescent="0.2">
      <c r="A951">
        <v>914</v>
      </c>
      <c r="B951" s="61">
        <v>0.75950018708054934</v>
      </c>
      <c r="C951" s="60">
        <v>5818.4423026694112</v>
      </c>
      <c r="D951" s="60">
        <v>7660.883304104219</v>
      </c>
    </row>
    <row r="952" spans="1:4" x14ac:dyDescent="0.2">
      <c r="A952">
        <v>915</v>
      </c>
      <c r="B952" s="61">
        <v>1.0363984563222823</v>
      </c>
      <c r="C952" s="60">
        <v>6910.6171333294351</v>
      </c>
      <c r="D952" s="60">
        <v>6667.9153091873031</v>
      </c>
    </row>
    <row r="953" spans="1:4" x14ac:dyDescent="0.2">
      <c r="A953">
        <v>916</v>
      </c>
      <c r="B953" s="61">
        <v>0.81404548482940164</v>
      </c>
      <c r="C953" s="60">
        <v>9413.183881895</v>
      </c>
      <c r="D953" s="60">
        <v>11563.461817944617</v>
      </c>
    </row>
    <row r="954" spans="1:4" x14ac:dyDescent="0.2">
      <c r="A954">
        <v>917</v>
      </c>
      <c r="B954" s="61">
        <v>0.74628532498162858</v>
      </c>
      <c r="C954" s="60">
        <v>4988.2858860840497</v>
      </c>
      <c r="D954" s="60">
        <v>6684.1537936001178</v>
      </c>
    </row>
    <row r="955" spans="1:4" x14ac:dyDescent="0.2">
      <c r="A955">
        <v>918</v>
      </c>
      <c r="B955" s="61">
        <v>0.93810328464584014</v>
      </c>
      <c r="C955" s="60">
        <v>6905.10426549775</v>
      </c>
      <c r="D955" s="60">
        <v>7360.7079076635118</v>
      </c>
    </row>
    <row r="956" spans="1:4" x14ac:dyDescent="0.2">
      <c r="A956">
        <v>919</v>
      </c>
      <c r="B956" s="61">
        <v>0.79948978211727884</v>
      </c>
      <c r="C956" s="60">
        <v>8204.4950596319431</v>
      </c>
      <c r="D956" s="60">
        <v>10262.163748865034</v>
      </c>
    </row>
    <row r="957" spans="1:4" x14ac:dyDescent="0.2">
      <c r="A957">
        <v>920</v>
      </c>
      <c r="B957" s="61">
        <v>1.0109017664953202</v>
      </c>
      <c r="C957" s="60">
        <v>7661.923203662167</v>
      </c>
      <c r="D957" s="60">
        <v>7579.2954939876809</v>
      </c>
    </row>
    <row r="958" spans="1:4" x14ac:dyDescent="0.2">
      <c r="A958">
        <v>921</v>
      </c>
      <c r="B958" s="61">
        <v>0.94324868345469959</v>
      </c>
      <c r="C958" s="60">
        <v>6249.5665070876539</v>
      </c>
      <c r="D958" s="60">
        <v>6625.5767081468666</v>
      </c>
    </row>
    <row r="959" spans="1:4" x14ac:dyDescent="0.2">
      <c r="A959">
        <v>922</v>
      </c>
      <c r="B959" s="61">
        <v>0.69019904630690299</v>
      </c>
      <c r="C959" s="60">
        <v>6634.0942376784624</v>
      </c>
      <c r="D959" s="60">
        <v>9611.8565697474969</v>
      </c>
    </row>
    <row r="960" spans="1:4" x14ac:dyDescent="0.2">
      <c r="A960">
        <v>923</v>
      </c>
      <c r="B960" s="61">
        <v>0.72423752454842294</v>
      </c>
      <c r="C960" s="60">
        <v>7743.5165646274563</v>
      </c>
      <c r="D960" s="60">
        <v>10691.957130301553</v>
      </c>
    </row>
    <row r="961" spans="1:4" x14ac:dyDescent="0.2">
      <c r="A961">
        <v>924</v>
      </c>
      <c r="B961" s="61">
        <v>0.87089921424106009</v>
      </c>
      <c r="C961" s="60">
        <v>8418.7056943245461</v>
      </c>
      <c r="D961" s="60">
        <v>9666.6819267496721</v>
      </c>
    </row>
    <row r="962" spans="1:4" x14ac:dyDescent="0.2">
      <c r="A962">
        <v>925</v>
      </c>
      <c r="B962" s="61">
        <v>0.78224970725483356</v>
      </c>
      <c r="C962" s="60">
        <v>7398.0100559605762</v>
      </c>
      <c r="D962" s="60">
        <v>9457.3510061417328</v>
      </c>
    </row>
    <row r="963" spans="1:4" x14ac:dyDescent="0.2">
      <c r="A963">
        <v>926</v>
      </c>
      <c r="B963" s="61">
        <v>0.80002102869165981</v>
      </c>
      <c r="C963" s="60">
        <v>7090.9270090665232</v>
      </c>
      <c r="D963" s="60">
        <v>8863.4257785234713</v>
      </c>
    </row>
    <row r="964" spans="1:4" x14ac:dyDescent="0.2">
      <c r="A964">
        <v>927</v>
      </c>
      <c r="B964" s="61">
        <v>0.84918370745290517</v>
      </c>
      <c r="C964" s="60">
        <v>7902.79572585395</v>
      </c>
      <c r="D964" s="60">
        <v>9306.3440295599776</v>
      </c>
    </row>
    <row r="965" spans="1:4" x14ac:dyDescent="0.2">
      <c r="A965">
        <v>928</v>
      </c>
      <c r="B965" s="61">
        <v>0.87344393537026743</v>
      </c>
      <c r="C965" s="60">
        <v>7656.0217802853367</v>
      </c>
      <c r="D965" s="60">
        <v>8765.3270808272555</v>
      </c>
    </row>
    <row r="966" spans="1:4" x14ac:dyDescent="0.2">
      <c r="A966">
        <v>929</v>
      </c>
      <c r="B966" s="61">
        <v>0.77075961233735057</v>
      </c>
      <c r="C966" s="60">
        <v>7105.1444905251728</v>
      </c>
      <c r="D966" s="60">
        <v>9218.3663710383298</v>
      </c>
    </row>
    <row r="967" spans="1:4" x14ac:dyDescent="0.2">
      <c r="A967">
        <v>930</v>
      </c>
      <c r="B967" s="61">
        <v>0.61460841276275424</v>
      </c>
      <c r="C967" s="60">
        <v>6921.4085296569046</v>
      </c>
      <c r="D967" s="60">
        <v>11261.493311723747</v>
      </c>
    </row>
    <row r="968" spans="1:4" x14ac:dyDescent="0.2">
      <c r="A968">
        <v>931</v>
      </c>
      <c r="B968" s="61">
        <v>0.74530696334241942</v>
      </c>
      <c r="C968" s="60">
        <v>7151.073798686296</v>
      </c>
      <c r="D968" s="60">
        <v>9594.8034171268682</v>
      </c>
    </row>
    <row r="969" spans="1:4" x14ac:dyDescent="0.2">
      <c r="A969">
        <v>932</v>
      </c>
      <c r="B969" s="61">
        <v>0.60895481276589791</v>
      </c>
      <c r="C969" s="60">
        <v>5869.2471625960025</v>
      </c>
      <c r="D969" s="60">
        <v>9638.23101411686</v>
      </c>
    </row>
    <row r="970" spans="1:4" x14ac:dyDescent="0.2">
      <c r="A970">
        <v>933</v>
      </c>
      <c r="B970" s="61">
        <v>0.8667792817008646</v>
      </c>
      <c r="C970" s="60">
        <v>5874.1180521607403</v>
      </c>
      <c r="D970" s="60">
        <v>6776.9479222369846</v>
      </c>
    </row>
    <row r="971" spans="1:4" x14ac:dyDescent="0.2">
      <c r="A971">
        <v>934</v>
      </c>
      <c r="B971" s="61">
        <v>0.9707042376634325</v>
      </c>
      <c r="C971" s="60">
        <v>6729.221654103465</v>
      </c>
      <c r="D971" s="60">
        <v>6932.3089289290347</v>
      </c>
    </row>
    <row r="972" spans="1:4" x14ac:dyDescent="0.2">
      <c r="A972">
        <v>935</v>
      </c>
      <c r="B972" s="61">
        <v>0.67564716081520793</v>
      </c>
      <c r="C972" s="60">
        <v>6518.4991984874541</v>
      </c>
      <c r="D972" s="60">
        <v>9647.7859695621337</v>
      </c>
    </row>
    <row r="973" spans="1:4" x14ac:dyDescent="0.2">
      <c r="A973">
        <v>936</v>
      </c>
      <c r="B973" s="61">
        <v>0.7203843337718876</v>
      </c>
      <c r="C973" s="60">
        <v>8960.400845909553</v>
      </c>
      <c r="D973" s="60">
        <v>12438.361615935553</v>
      </c>
    </row>
    <row r="974" spans="1:4" x14ac:dyDescent="0.2">
      <c r="A974">
        <v>937</v>
      </c>
      <c r="B974" s="61">
        <v>0.87968835546484758</v>
      </c>
      <c r="C974" s="60">
        <v>8007.2777878926427</v>
      </c>
      <c r="D974" s="60">
        <v>9102.4028431766765</v>
      </c>
    </row>
    <row r="975" spans="1:4" x14ac:dyDescent="0.2">
      <c r="A975">
        <v>938</v>
      </c>
      <c r="B975" s="61">
        <v>0.81280563839003772</v>
      </c>
      <c r="C975" s="60">
        <v>7211.0667403789048</v>
      </c>
      <c r="D975" s="60">
        <v>8871.8217490004172</v>
      </c>
    </row>
    <row r="976" spans="1:4" x14ac:dyDescent="0.2">
      <c r="A976">
        <v>939</v>
      </c>
      <c r="B976" s="61">
        <v>1.0217018564677423</v>
      </c>
      <c r="C976" s="60">
        <v>7294.7564368212697</v>
      </c>
      <c r="D976" s="60">
        <v>7139.8093197568578</v>
      </c>
    </row>
    <row r="977" spans="1:4" x14ac:dyDescent="0.2">
      <c r="A977">
        <v>940</v>
      </c>
      <c r="B977" s="61">
        <v>0.61275363207699662</v>
      </c>
      <c r="C977" s="60">
        <v>7920.3318830083681</v>
      </c>
      <c r="D977" s="60">
        <v>12925.801608325881</v>
      </c>
    </row>
    <row r="978" spans="1:4" x14ac:dyDescent="0.2">
      <c r="A978">
        <v>941</v>
      </c>
      <c r="B978" s="61">
        <v>0.71564037531895153</v>
      </c>
      <c r="C978" s="60">
        <v>4798.8054131574245</v>
      </c>
      <c r="D978" s="60">
        <v>6705.6102180074176</v>
      </c>
    </row>
    <row r="979" spans="1:4" x14ac:dyDescent="0.2">
      <c r="A979">
        <v>942</v>
      </c>
      <c r="B979" s="61">
        <v>0.83521756063771058</v>
      </c>
      <c r="C979" s="60">
        <v>8944.2531134149795</v>
      </c>
      <c r="D979" s="60">
        <v>10708.890156219664</v>
      </c>
    </row>
    <row r="980" spans="1:4" x14ac:dyDescent="0.2">
      <c r="A980">
        <v>943</v>
      </c>
      <c r="B980" s="61">
        <v>1.1228973306155217</v>
      </c>
      <c r="C980" s="60">
        <v>5458.2767021450327</v>
      </c>
      <c r="D980" s="60">
        <v>4860.8867020398484</v>
      </c>
    </row>
    <row r="981" spans="1:4" x14ac:dyDescent="0.2">
      <c r="A981">
        <v>944</v>
      </c>
      <c r="B981" s="61">
        <v>0.92556190397220739</v>
      </c>
      <c r="C981" s="60">
        <v>7108.5486360824216</v>
      </c>
      <c r="D981" s="60">
        <v>7680.2519697222497</v>
      </c>
    </row>
    <row r="982" spans="1:4" x14ac:dyDescent="0.2">
      <c r="A982">
        <v>945</v>
      </c>
      <c r="B982" s="61">
        <v>0.98895621446633086</v>
      </c>
      <c r="C982" s="60">
        <v>5720.344525644743</v>
      </c>
      <c r="D982" s="60">
        <v>5784.2242578268288</v>
      </c>
    </row>
    <row r="983" spans="1:4" x14ac:dyDescent="0.2">
      <c r="A983">
        <v>946</v>
      </c>
      <c r="B983" s="61">
        <v>0.87322404985620672</v>
      </c>
      <c r="C983" s="60">
        <v>7970.4114186212028</v>
      </c>
      <c r="D983" s="60">
        <v>9127.5674552638411</v>
      </c>
    </row>
    <row r="984" spans="1:4" x14ac:dyDescent="0.2">
      <c r="A984">
        <v>947</v>
      </c>
      <c r="B984" s="61">
        <v>0.76403119443072143</v>
      </c>
      <c r="C984" s="60">
        <v>5765.3893506162158</v>
      </c>
      <c r="D984" s="60">
        <v>7546.013032768903</v>
      </c>
    </row>
    <row r="985" spans="1:4" x14ac:dyDescent="0.2">
      <c r="A985">
        <v>948</v>
      </c>
      <c r="B985" s="61">
        <v>1.1062686148735477</v>
      </c>
      <c r="C985" s="60">
        <v>6243.5737769437565</v>
      </c>
      <c r="D985" s="60">
        <v>5643.8135304574562</v>
      </c>
    </row>
    <row r="986" spans="1:4" x14ac:dyDescent="0.2">
      <c r="A986">
        <v>949</v>
      </c>
      <c r="B986" s="61">
        <v>1.1737469429887026</v>
      </c>
      <c r="C986" s="60">
        <v>8037.4297043844108</v>
      </c>
      <c r="D986" s="60">
        <v>6847.6682750020773</v>
      </c>
    </row>
    <row r="987" spans="1:4" x14ac:dyDescent="0.2">
      <c r="A987">
        <v>950</v>
      </c>
      <c r="B987" s="61">
        <v>1.180774835601083</v>
      </c>
      <c r="C987" s="60">
        <v>4446.3572168619539</v>
      </c>
      <c r="D987" s="60">
        <v>3765.6266739445709</v>
      </c>
    </row>
    <row r="988" spans="1:4" x14ac:dyDescent="0.2">
      <c r="A988">
        <v>951</v>
      </c>
      <c r="B988" s="62">
        <v>0.66406118190755947</v>
      </c>
      <c r="C988" s="63">
        <v>8708.4618013019208</v>
      </c>
      <c r="D988" s="63">
        <v>13113.944977609279</v>
      </c>
    </row>
    <row r="989" spans="1:4" x14ac:dyDescent="0.2">
      <c r="A989">
        <v>952</v>
      </c>
      <c r="B989" s="61">
        <v>0.5584746047137088</v>
      </c>
      <c r="C989" s="60">
        <v>5003.3040181328925</v>
      </c>
      <c r="D989" s="60">
        <v>8958.8747203603634</v>
      </c>
    </row>
    <row r="990" spans="1:4" x14ac:dyDescent="0.2">
      <c r="A990">
        <v>953</v>
      </c>
      <c r="B990" s="61">
        <v>1.0009779277943895</v>
      </c>
      <c r="C990" s="60">
        <v>6906.8881925189598</v>
      </c>
      <c r="D990" s="60">
        <v>6900.1403534821011</v>
      </c>
    </row>
    <row r="991" spans="1:4" x14ac:dyDescent="0.2">
      <c r="A991">
        <v>954</v>
      </c>
      <c r="B991" s="61">
        <v>0.71876492729860786</v>
      </c>
      <c r="C991" s="60">
        <v>5872.3754185051821</v>
      </c>
      <c r="D991" s="60">
        <v>8170.091771973076</v>
      </c>
    </row>
    <row r="992" spans="1:4" x14ac:dyDescent="0.2">
      <c r="A992">
        <v>955</v>
      </c>
      <c r="B992" s="61">
        <v>0.87169846453542643</v>
      </c>
      <c r="C992" s="60">
        <v>6818.6468889219414</v>
      </c>
      <c r="D992" s="60">
        <v>7822.2541008557973</v>
      </c>
    </row>
    <row r="993" spans="1:4" x14ac:dyDescent="0.2">
      <c r="A993">
        <v>956</v>
      </c>
      <c r="B993" s="61">
        <v>0.8760565872670778</v>
      </c>
      <c r="C993" s="60">
        <v>7231.9826405045078</v>
      </c>
      <c r="D993" s="60">
        <v>8255.1546847735062</v>
      </c>
    </row>
    <row r="994" spans="1:4" x14ac:dyDescent="0.2">
      <c r="A994">
        <v>957</v>
      </c>
      <c r="B994" s="61">
        <v>0.83844516862339269</v>
      </c>
      <c r="C994" s="60">
        <v>6794.0903813763707</v>
      </c>
      <c r="D994" s="60">
        <v>8103.2017782764469</v>
      </c>
    </row>
    <row r="995" spans="1:4" x14ac:dyDescent="0.2">
      <c r="A995">
        <v>958</v>
      </c>
      <c r="B995" s="61">
        <v>0.58191956240360199</v>
      </c>
      <c r="C995" s="60">
        <v>7702.0964893396867</v>
      </c>
      <c r="D995" s="60">
        <v>13235.672053241171</v>
      </c>
    </row>
    <row r="996" spans="1:4" x14ac:dyDescent="0.2">
      <c r="A996">
        <v>959</v>
      </c>
      <c r="B996" s="61">
        <v>1.2379422116857981</v>
      </c>
      <c r="C996" s="60">
        <v>6543.6836000988633</v>
      </c>
      <c r="D996" s="60">
        <v>5285.9362402610395</v>
      </c>
    </row>
    <row r="997" spans="1:4" x14ac:dyDescent="0.2">
      <c r="A997">
        <v>960</v>
      </c>
      <c r="B997" s="61">
        <v>0.69772477831349011</v>
      </c>
      <c r="C997" s="60">
        <v>6548.357600331763</v>
      </c>
      <c r="D997" s="60">
        <v>9385.3017749493829</v>
      </c>
    </row>
    <row r="998" spans="1:4" x14ac:dyDescent="0.2">
      <c r="A998">
        <v>961</v>
      </c>
      <c r="B998" s="61">
        <v>0.86420139024879283</v>
      </c>
      <c r="C998" s="60">
        <v>6005.1198847313299</v>
      </c>
      <c r="D998" s="60">
        <v>6948.7505487610133</v>
      </c>
    </row>
    <row r="999" spans="1:4" x14ac:dyDescent="0.2">
      <c r="A999">
        <v>962</v>
      </c>
      <c r="B999" s="61">
        <v>0.98671343687573199</v>
      </c>
      <c r="C999" s="60">
        <v>5916.8065696542672</v>
      </c>
      <c r="D999" s="60">
        <v>5996.4791686519193</v>
      </c>
    </row>
    <row r="1000" spans="1:4" x14ac:dyDescent="0.2">
      <c r="A1000">
        <v>963</v>
      </c>
      <c r="B1000" s="61">
        <v>0.874261157150519</v>
      </c>
      <c r="C1000" s="60">
        <v>8014.6661349600799</v>
      </c>
      <c r="D1000" s="60">
        <v>9167.3592832172671</v>
      </c>
    </row>
    <row r="1001" spans="1:4" x14ac:dyDescent="0.2">
      <c r="A1001">
        <v>964</v>
      </c>
      <c r="B1001" s="61">
        <v>0.77286563389208229</v>
      </c>
      <c r="C1001" s="60">
        <v>7292.7852604349155</v>
      </c>
      <c r="D1001" s="60">
        <v>9436.0325270372032</v>
      </c>
    </row>
    <row r="1002" spans="1:4" x14ac:dyDescent="0.2">
      <c r="A1002">
        <v>965</v>
      </c>
      <c r="B1002" s="61">
        <v>0.80547118115641148</v>
      </c>
      <c r="C1002" s="60">
        <v>9288.420237755452</v>
      </c>
      <c r="D1002" s="60">
        <v>11531.660542367397</v>
      </c>
    </row>
    <row r="1003" spans="1:4" x14ac:dyDescent="0.2">
      <c r="A1003">
        <v>966</v>
      </c>
      <c r="B1003" s="61">
        <v>0.7719016011152835</v>
      </c>
      <c r="C1003" s="60">
        <v>6181.9908904401418</v>
      </c>
      <c r="D1003" s="60">
        <v>8008.7810175650375</v>
      </c>
    </row>
    <row r="1004" spans="1:4" x14ac:dyDescent="0.2">
      <c r="A1004">
        <v>967</v>
      </c>
      <c r="B1004" s="61">
        <v>0.9586613227490588</v>
      </c>
      <c r="C1004" s="60">
        <v>7024.5539313955906</v>
      </c>
      <c r="D1004" s="60">
        <v>7327.461497301224</v>
      </c>
    </row>
    <row r="1005" spans="1:4" x14ac:dyDescent="0.2">
      <c r="A1005">
        <v>968</v>
      </c>
      <c r="B1005" s="61">
        <v>0.96756625818413244</v>
      </c>
      <c r="C1005" s="60">
        <v>8040.029173965082</v>
      </c>
      <c r="D1005" s="60">
        <v>8309.538603644678</v>
      </c>
    </row>
    <row r="1006" spans="1:4" x14ac:dyDescent="0.2">
      <c r="A1006">
        <v>969</v>
      </c>
      <c r="B1006" s="61">
        <v>0.61133179455487152</v>
      </c>
      <c r="C1006" s="60">
        <v>8904.1605046088152</v>
      </c>
      <c r="D1006" s="60">
        <v>14565.184706436206</v>
      </c>
    </row>
    <row r="1007" spans="1:4" x14ac:dyDescent="0.2">
      <c r="A1007">
        <v>970</v>
      </c>
      <c r="B1007" s="61">
        <v>0.85920672877731263</v>
      </c>
      <c r="C1007" s="60">
        <v>8335.5904290756953</v>
      </c>
      <c r="D1007" s="60">
        <v>9701.4957517122693</v>
      </c>
    </row>
    <row r="1008" spans="1:4" x14ac:dyDescent="0.2">
      <c r="A1008">
        <v>971</v>
      </c>
      <c r="B1008" s="61">
        <v>0.88133356450916622</v>
      </c>
      <c r="C1008" s="60">
        <v>7695.6560712586706</v>
      </c>
      <c r="D1008" s="60">
        <v>8731.8313759496359</v>
      </c>
    </row>
    <row r="1009" spans="1:4" x14ac:dyDescent="0.2">
      <c r="A1009">
        <v>972</v>
      </c>
      <c r="B1009" s="61">
        <v>0.79858069762059181</v>
      </c>
      <c r="C1009" s="60">
        <v>5680.2916859750949</v>
      </c>
      <c r="D1009" s="60">
        <v>7112.9839512772942</v>
      </c>
    </row>
    <row r="1010" spans="1:4" x14ac:dyDescent="0.2">
      <c r="A1010">
        <v>973</v>
      </c>
      <c r="B1010" s="61">
        <v>0.58483221292245169</v>
      </c>
      <c r="C1010" s="60">
        <v>7587.6434139670009</v>
      </c>
      <c r="D1010" s="60">
        <v>12974.051781537411</v>
      </c>
    </row>
    <row r="1011" spans="1:4" x14ac:dyDescent="0.2">
      <c r="A1011">
        <v>974</v>
      </c>
      <c r="B1011" s="61">
        <v>0.88704208849599731</v>
      </c>
      <c r="C1011" s="60">
        <v>4894.0335288392489</v>
      </c>
      <c r="D1011" s="60">
        <v>5517.2506381711928</v>
      </c>
    </row>
    <row r="1012" spans="1:4" x14ac:dyDescent="0.2">
      <c r="A1012">
        <v>975</v>
      </c>
      <c r="B1012" s="61">
        <v>0.6813936589106806</v>
      </c>
      <c r="C1012" s="60">
        <v>6296.624320257697</v>
      </c>
      <c r="D1012" s="60">
        <v>9240.8026372359891</v>
      </c>
    </row>
    <row r="1013" spans="1:4" x14ac:dyDescent="0.2">
      <c r="A1013">
        <v>976</v>
      </c>
      <c r="B1013" s="61">
        <v>0.85493401176395167</v>
      </c>
      <c r="C1013" s="60">
        <v>6966.5154564285349</v>
      </c>
      <c r="D1013" s="60">
        <v>8148.6001967038346</v>
      </c>
    </row>
    <row r="1014" spans="1:4" x14ac:dyDescent="0.2">
      <c r="A1014">
        <v>977</v>
      </c>
      <c r="B1014" s="61">
        <v>1.2789364097234683</v>
      </c>
      <c r="C1014" s="60">
        <v>5162.0661829855644</v>
      </c>
      <c r="D1014" s="60">
        <v>4036.2180197072553</v>
      </c>
    </row>
    <row r="1015" spans="1:4" x14ac:dyDescent="0.2">
      <c r="A1015">
        <v>978</v>
      </c>
      <c r="B1015" s="61">
        <v>0.87237139317519929</v>
      </c>
      <c r="C1015" s="60">
        <v>7060.4354309348837</v>
      </c>
      <c r="D1015" s="60">
        <v>8093.3825732602045</v>
      </c>
    </row>
    <row r="1016" spans="1:4" x14ac:dyDescent="0.2">
      <c r="A1016">
        <v>979</v>
      </c>
      <c r="B1016" s="61">
        <v>0.7960053570187835</v>
      </c>
      <c r="C1016" s="60">
        <v>5993.4556021370918</v>
      </c>
      <c r="D1016" s="60">
        <v>7529.4161644639071</v>
      </c>
    </row>
    <row r="1017" spans="1:4" x14ac:dyDescent="0.2">
      <c r="A1017">
        <v>980</v>
      </c>
      <c r="B1017" s="61">
        <v>0.88444414520267411</v>
      </c>
      <c r="C1017" s="60">
        <v>5311.3899320591645</v>
      </c>
      <c r="D1017" s="60">
        <v>6005.3424072834323</v>
      </c>
    </row>
    <row r="1018" spans="1:4" x14ac:dyDescent="0.2">
      <c r="A1018">
        <v>981</v>
      </c>
      <c r="B1018" s="61">
        <v>0.89578929969879439</v>
      </c>
      <c r="C1018" s="60">
        <v>6257.1177558950958</v>
      </c>
      <c r="D1018" s="60">
        <v>6985.0329290593527</v>
      </c>
    </row>
    <row r="1019" spans="1:4" x14ac:dyDescent="0.2">
      <c r="A1019">
        <v>982</v>
      </c>
      <c r="B1019" s="61">
        <v>0.86789171515392116</v>
      </c>
      <c r="C1019" s="60">
        <v>7870.3923230329874</v>
      </c>
      <c r="D1019" s="60">
        <v>9068.4035641902265</v>
      </c>
    </row>
    <row r="1020" spans="1:4" x14ac:dyDescent="0.2">
      <c r="A1020">
        <v>983</v>
      </c>
      <c r="B1020" s="61">
        <v>0.6320909027141326</v>
      </c>
      <c r="C1020" s="60">
        <v>5291.401484714308</v>
      </c>
      <c r="D1020" s="60">
        <v>8371.2666358487058</v>
      </c>
    </row>
    <row r="1021" spans="1:4" x14ac:dyDescent="0.2">
      <c r="A1021">
        <v>984</v>
      </c>
      <c r="B1021" s="61">
        <v>0.97779466085445677</v>
      </c>
      <c r="C1021" s="60">
        <v>7130.0974423590706</v>
      </c>
      <c r="D1021" s="60">
        <v>7292.0192017906456</v>
      </c>
    </row>
    <row r="1022" spans="1:4" x14ac:dyDescent="0.2">
      <c r="A1022">
        <v>985</v>
      </c>
      <c r="B1022" s="61">
        <v>0.67893401535114606</v>
      </c>
      <c r="C1022" s="60">
        <v>8505.8020722565761</v>
      </c>
      <c r="D1022" s="60">
        <v>12528.171928250433</v>
      </c>
    </row>
    <row r="1023" spans="1:4" x14ac:dyDescent="0.2">
      <c r="A1023">
        <v>986</v>
      </c>
      <c r="B1023" s="61">
        <v>0.71551750784141355</v>
      </c>
      <c r="C1023" s="60">
        <v>7177.6564052616104</v>
      </c>
      <c r="D1023" s="60">
        <v>10031.419674013703</v>
      </c>
    </row>
    <row r="1024" spans="1:4" x14ac:dyDescent="0.2">
      <c r="A1024">
        <v>987</v>
      </c>
      <c r="B1024" s="61">
        <v>0.76917588785893276</v>
      </c>
      <c r="C1024" s="60">
        <v>8300.4879341789056</v>
      </c>
      <c r="D1024" s="60">
        <v>10791.404235621618</v>
      </c>
    </row>
    <row r="1025" spans="1:4" x14ac:dyDescent="0.2">
      <c r="A1025">
        <v>988</v>
      </c>
      <c r="B1025" s="61">
        <v>1.1953153468811415</v>
      </c>
      <c r="C1025" s="60">
        <v>5629.0771147043142</v>
      </c>
      <c r="D1025" s="60">
        <v>4709.2820563141759</v>
      </c>
    </row>
    <row r="1026" spans="1:4" x14ac:dyDescent="0.2">
      <c r="A1026">
        <v>989</v>
      </c>
      <c r="B1026" s="61">
        <v>0.80815158511608676</v>
      </c>
      <c r="C1026" s="60">
        <v>6762.3966162483339</v>
      </c>
      <c r="D1026" s="60">
        <v>8367.7329114895583</v>
      </c>
    </row>
    <row r="1027" spans="1:4" x14ac:dyDescent="0.2">
      <c r="A1027">
        <v>990</v>
      </c>
      <c r="B1027" s="61">
        <v>1.1214772864343701</v>
      </c>
      <c r="C1027" s="60">
        <v>6024.2135635169943</v>
      </c>
      <c r="D1027" s="60">
        <v>5371.6768376739992</v>
      </c>
    </row>
    <row r="1028" spans="1:4" x14ac:dyDescent="0.2">
      <c r="A1028">
        <v>991</v>
      </c>
      <c r="B1028" s="61">
        <v>0.80430471563665229</v>
      </c>
      <c r="C1028" s="60">
        <v>7907.2233083931387</v>
      </c>
      <c r="D1028" s="60">
        <v>9831.1288677875382</v>
      </c>
    </row>
    <row r="1029" spans="1:4" x14ac:dyDescent="0.2">
      <c r="A1029">
        <v>992</v>
      </c>
      <c r="B1029" s="62">
        <v>0.88371745564336379</v>
      </c>
      <c r="C1029" s="63">
        <v>6354.9378241139439</v>
      </c>
      <c r="D1029" s="63">
        <v>7191.1421275337643</v>
      </c>
    </row>
    <row r="1030" spans="1:4" x14ac:dyDescent="0.2">
      <c r="A1030">
        <v>993</v>
      </c>
      <c r="B1030" s="61">
        <v>0.78094443358554866</v>
      </c>
      <c r="C1030" s="60">
        <v>6350.9541145743988</v>
      </c>
      <c r="D1030" s="60">
        <v>8132.402052493384</v>
      </c>
    </row>
    <row r="1031" spans="1:4" x14ac:dyDescent="0.2">
      <c r="A1031">
        <v>994</v>
      </c>
      <c r="B1031" s="61">
        <v>0.8599627401316825</v>
      </c>
      <c r="C1031" s="60">
        <v>5909.7393893655135</v>
      </c>
      <c r="D1031" s="60">
        <v>6872.0877237781024</v>
      </c>
    </row>
    <row r="1032" spans="1:4" x14ac:dyDescent="0.2">
      <c r="A1032">
        <v>995</v>
      </c>
      <c r="B1032" s="61">
        <v>0.72925614641711256</v>
      </c>
      <c r="C1032" s="60">
        <v>5618.5630218271526</v>
      </c>
      <c r="D1032" s="60">
        <v>7704.512398601717</v>
      </c>
    </row>
    <row r="1033" spans="1:4" x14ac:dyDescent="0.2">
      <c r="A1033">
        <v>996</v>
      </c>
      <c r="B1033" s="61">
        <v>0.75135327795607765</v>
      </c>
      <c r="C1033" s="60">
        <v>6339.4899176091058</v>
      </c>
      <c r="D1033" s="60">
        <v>8437.4289746290251</v>
      </c>
    </row>
    <row r="1034" spans="1:4" x14ac:dyDescent="0.2">
      <c r="A1034">
        <v>997</v>
      </c>
      <c r="B1034" s="61">
        <v>0.55917163533706749</v>
      </c>
      <c r="C1034" s="60">
        <v>6685.4248553301204</v>
      </c>
      <c r="D1034" s="60">
        <v>11955.944173205711</v>
      </c>
    </row>
    <row r="1035" spans="1:4" x14ac:dyDescent="0.2">
      <c r="A1035">
        <v>998</v>
      </c>
      <c r="B1035" s="61">
        <v>0.78871678478335383</v>
      </c>
      <c r="C1035" s="60">
        <v>7463.6639210310859</v>
      </c>
      <c r="D1035" s="60">
        <v>9463.0468946863093</v>
      </c>
    </row>
    <row r="1036" spans="1:4" x14ac:dyDescent="0.2">
      <c r="A1036">
        <v>999</v>
      </c>
      <c r="B1036" s="61">
        <v>0.76609881785743728</v>
      </c>
      <c r="C1036" s="60">
        <v>5566.854343220175</v>
      </c>
      <c r="D1036" s="60">
        <v>7266.4964537983487</v>
      </c>
    </row>
    <row r="1037" spans="1:4" x14ac:dyDescent="0.2">
      <c r="A1037">
        <v>1000</v>
      </c>
      <c r="B1037" s="61">
        <v>0.7944730691802544</v>
      </c>
      <c r="C1037" s="60">
        <v>8489.2975366689025</v>
      </c>
      <c r="D1037" s="60">
        <v>10685.444058447756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90"/>
  <sheetViews>
    <sheetView zoomScale="60" zoomScaleNormal="60" workbookViewId="0">
      <selection activeCell="G27" sqref="G27"/>
    </sheetView>
  </sheetViews>
  <sheetFormatPr defaultRowHeight="12.75" x14ac:dyDescent="0.2"/>
  <cols>
    <col min="2" max="2" width="8.7109375" bestFit="1" customWidth="1"/>
    <col min="3" max="3" width="7.140625" style="53" customWidth="1"/>
    <col min="7" max="7" width="11.85546875" bestFit="1" customWidth="1"/>
    <col min="10" max="10" width="12.28515625" customWidth="1"/>
    <col min="12" max="12" width="4.7109375" customWidth="1"/>
    <col min="13" max="14" width="12" bestFit="1" customWidth="1"/>
    <col min="16" max="16" width="4.42578125" customWidth="1"/>
    <col min="17" max="17" width="4.7109375" customWidth="1"/>
    <col min="21" max="21" width="11.28515625" customWidth="1"/>
    <col min="26" max="26" width="6.7109375" customWidth="1"/>
    <col min="27" max="28" width="12" bestFit="1" customWidth="1"/>
  </cols>
  <sheetData>
    <row r="1" spans="1:29" s="2" customFormat="1" ht="15.75" x14ac:dyDescent="0.25">
      <c r="A1" s="49" t="s">
        <v>133</v>
      </c>
      <c r="C1" s="52"/>
      <c r="H1"/>
      <c r="I1"/>
      <c r="J1"/>
      <c r="K1"/>
      <c r="L1"/>
    </row>
    <row r="3" spans="1:29" x14ac:dyDescent="0.2">
      <c r="D3" s="50"/>
      <c r="E3" s="50"/>
      <c r="F3" s="50"/>
      <c r="G3" s="51" t="s">
        <v>134</v>
      </c>
      <c r="H3" s="50"/>
      <c r="I3" s="50"/>
      <c r="J3" s="50"/>
      <c r="K3" s="50"/>
      <c r="L3" s="50"/>
      <c r="M3" s="50"/>
      <c r="N3" s="50"/>
      <c r="O3" s="50"/>
      <c r="R3" s="50"/>
      <c r="S3" s="50"/>
      <c r="T3" s="50"/>
      <c r="U3" s="51" t="s">
        <v>135</v>
      </c>
      <c r="V3" s="50"/>
      <c r="W3" s="50"/>
      <c r="X3" s="50"/>
      <c r="Y3" s="50"/>
      <c r="Z3" s="50"/>
      <c r="AA3" s="50"/>
      <c r="AB3" s="50"/>
      <c r="AC3" s="50"/>
    </row>
    <row r="4" spans="1:29" x14ac:dyDescent="0.2">
      <c r="A4" s="1" t="s">
        <v>33</v>
      </c>
      <c r="B4" s="1" t="s">
        <v>136</v>
      </c>
      <c r="C4" s="54"/>
      <c r="D4" s="1" t="s">
        <v>36</v>
      </c>
      <c r="E4" s="1" t="s">
        <v>34</v>
      </c>
      <c r="F4" s="1" t="s">
        <v>35</v>
      </c>
      <c r="G4" s="1"/>
      <c r="H4" s="1" t="s">
        <v>43</v>
      </c>
      <c r="I4" s="1" t="s">
        <v>46</v>
      </c>
      <c r="J4" s="1" t="s">
        <v>45</v>
      </c>
      <c r="K4" s="1" t="s">
        <v>44</v>
      </c>
      <c r="L4" s="1"/>
      <c r="M4" s="1" t="s">
        <v>47</v>
      </c>
      <c r="N4" s="1" t="s">
        <v>48</v>
      </c>
      <c r="O4" s="1" t="s">
        <v>49</v>
      </c>
      <c r="P4" s="1"/>
      <c r="Q4" s="1"/>
      <c r="R4" s="1" t="s">
        <v>36</v>
      </c>
      <c r="S4" s="1" t="s">
        <v>34</v>
      </c>
      <c r="T4" s="1" t="s">
        <v>35</v>
      </c>
      <c r="U4" s="1"/>
      <c r="V4" s="1" t="s">
        <v>43</v>
      </c>
      <c r="W4" s="1" t="s">
        <v>46</v>
      </c>
      <c r="X4" s="1" t="s">
        <v>45</v>
      </c>
      <c r="Y4" s="1" t="s">
        <v>44</v>
      </c>
      <c r="Z4" s="1"/>
      <c r="AA4" s="1" t="s">
        <v>47</v>
      </c>
      <c r="AB4" s="1" t="s">
        <v>48</v>
      </c>
      <c r="AC4" s="1" t="s">
        <v>49</v>
      </c>
    </row>
    <row r="5" spans="1:29" x14ac:dyDescent="0.2">
      <c r="A5">
        <v>0</v>
      </c>
      <c r="B5" s="44">
        <v>0</v>
      </c>
      <c r="C5" s="55"/>
      <c r="D5" s="48">
        <v>1000</v>
      </c>
      <c r="E5" s="48">
        <v>0</v>
      </c>
      <c r="F5" s="48">
        <v>0</v>
      </c>
      <c r="H5" s="6"/>
      <c r="I5" s="6"/>
      <c r="R5" s="48">
        <v>1000</v>
      </c>
      <c r="S5" s="48">
        <v>0</v>
      </c>
      <c r="T5" s="48">
        <v>0</v>
      </c>
      <c r="V5" s="6"/>
      <c r="W5" s="6"/>
    </row>
    <row r="6" spans="1:29" x14ac:dyDescent="0.2">
      <c r="A6">
        <v>1</v>
      </c>
      <c r="B6" s="44">
        <v>1.38E-2</v>
      </c>
      <c r="C6" s="55"/>
      <c r="D6" s="48">
        <f>$D$5-E6-F6</f>
        <v>976.2</v>
      </c>
      <c r="E6" s="48">
        <f t="shared" ref="E6:E50" si="0">E5*(1-tpDcm-rDeath)+D5*tpProg*ncycle</f>
        <v>10</v>
      </c>
      <c r="F6" s="48">
        <f t="shared" ref="F6:F50" si="1">F5+E5*tpDcm+(D5+E5)*rDeath</f>
        <v>13.799999999999999</v>
      </c>
      <c r="H6" s="48">
        <f t="shared" ref="H6:H50" si="2">D6+E6</f>
        <v>986.2</v>
      </c>
      <c r="I6" s="48">
        <f t="shared" ref="I6:I50" si="3">D6*uAsymp+E6*uProg</f>
        <v>934.89</v>
      </c>
      <c r="J6" s="48">
        <f t="shared" ref="J6:J50" si="4">(D6+E6)/((1+oDR)^ncycle)</f>
        <v>930.37735849056605</v>
      </c>
      <c r="K6" s="48">
        <f t="shared" ref="K6:K50" si="5">(D6*uAsymp+E6*uProg)/((1+oDR)^ncycle)</f>
        <v>881.97169811320748</v>
      </c>
      <c r="L6" s="44"/>
      <c r="M6" s="48">
        <f>(D6*cAsymp+'Markov Model'!E6*cProg)/((1+cDR)^ncycle)</f>
        <v>488773.58490566036</v>
      </c>
      <c r="N6" s="44">
        <f t="shared" ref="N6:N50" si="6">(E5*tpDcm*cDeath)/((1+cDR)^(ncycle-1))</f>
        <v>0</v>
      </c>
      <c r="O6" s="48">
        <f t="shared" ref="O6:O50" si="7">M6+N6</f>
        <v>488773.58490566036</v>
      </c>
      <c r="R6" s="48">
        <f>$D$5-S6-T6</f>
        <v>981.2</v>
      </c>
      <c r="S6" s="48">
        <f t="shared" ref="S6:S50" si="8">S5*(1-tpDcm-rDeath)+R5*tpProg*(1-effect)*ncycle</f>
        <v>5</v>
      </c>
      <c r="T6" s="48">
        <f t="shared" ref="T6:T50" si="9">T5+S5*tpDcm+(R5+S5)*rDeath</f>
        <v>13.799999999999999</v>
      </c>
      <c r="V6" s="48">
        <f t="shared" ref="V6:V50" si="10">R6+S6</f>
        <v>986.2</v>
      </c>
      <c r="W6" s="48">
        <f t="shared" ref="W6:W50" si="11">R6*uAsymp+S6*uProg</f>
        <v>935.89</v>
      </c>
      <c r="X6" s="48">
        <f t="shared" ref="X6:X50" si="12">(R6+S6)/((1+oDR)^ncycle)</f>
        <v>930.37735849056605</v>
      </c>
      <c r="Y6" s="48">
        <f t="shared" ref="Y6:Y50" si="13">(R6*uAsymp+S6*uProg)/((1+oDR)^ncycle)</f>
        <v>882.91509433962256</v>
      </c>
      <c r="AA6" s="48">
        <f>(R6*(cAsymp+cDrug)+'Markov Model'!S6*cProg)/((1+cDR)^ncycle)</f>
        <v>1402641.5094339622</v>
      </c>
      <c r="AB6" s="44">
        <f t="shared" ref="AB6:AB50" si="14">(S5*tpDcm*cDeath)/((1+cDR)^(ncycle-1))</f>
        <v>0</v>
      </c>
      <c r="AC6" s="48">
        <f t="shared" ref="AC6:AC50" si="15">AA6+AB6</f>
        <v>1402641.5094339622</v>
      </c>
    </row>
    <row r="7" spans="1:29" x14ac:dyDescent="0.2">
      <c r="A7">
        <v>2</v>
      </c>
      <c r="B7" s="44">
        <v>1.38E-2</v>
      </c>
      <c r="C7" s="55"/>
      <c r="D7" s="48">
        <f t="shared" ref="D7:D50" si="16">$D$5-E7-F7</f>
        <v>943.20443999999998</v>
      </c>
      <c r="E7" s="48">
        <f t="shared" si="0"/>
        <v>27.886000000000003</v>
      </c>
      <c r="F7" s="48">
        <f t="shared" si="1"/>
        <v>28.909559999999999</v>
      </c>
      <c r="H7" s="48">
        <f t="shared" si="2"/>
        <v>971.09043999999994</v>
      </c>
      <c r="I7" s="48">
        <f t="shared" si="3"/>
        <v>916.95871799999986</v>
      </c>
      <c r="J7" s="48">
        <f t="shared" si="4"/>
        <v>864.26703453186167</v>
      </c>
      <c r="K7" s="48">
        <f t="shared" si="5"/>
        <v>816.08999466002115</v>
      </c>
      <c r="L7" s="44"/>
      <c r="M7" s="48">
        <f>(D7*cAsymp+'Markov Model'!E7*cProg)/((1+cDR)^ncycle)</f>
        <v>494179.61908152356</v>
      </c>
      <c r="N7" s="44">
        <f t="shared" si="6"/>
        <v>1415.0943396226414</v>
      </c>
      <c r="O7" s="48">
        <f t="shared" si="7"/>
        <v>495594.71342114621</v>
      </c>
      <c r="R7" s="48">
        <f t="shared" ref="R7:R50" si="17">$D$5-S7-T7</f>
        <v>957.84744000000001</v>
      </c>
      <c r="S7" s="48">
        <f t="shared" si="8"/>
        <v>13.993000000000002</v>
      </c>
      <c r="T7" s="48">
        <f t="shared" si="9"/>
        <v>28.159559999999999</v>
      </c>
      <c r="V7" s="48">
        <f t="shared" si="10"/>
        <v>971.84044000000006</v>
      </c>
      <c r="W7" s="48">
        <f t="shared" si="11"/>
        <v>920.44981799999994</v>
      </c>
      <c r="X7" s="48">
        <f t="shared" si="12"/>
        <v>864.93453186187253</v>
      </c>
      <c r="Y7" s="48">
        <f t="shared" si="13"/>
        <v>819.1970612317549</v>
      </c>
      <c r="AA7" s="48">
        <f>(R7*(cAsymp+cDrug)+'Markov Model'!S7*cProg)/((1+cDR)^ncycle)</f>
        <v>1316082.3780704874</v>
      </c>
      <c r="AB7" s="44">
        <f t="shared" si="14"/>
        <v>707.54716981132071</v>
      </c>
      <c r="AC7" s="48">
        <f t="shared" si="15"/>
        <v>1316789.9252402987</v>
      </c>
    </row>
    <row r="8" spans="1:29" x14ac:dyDescent="0.2">
      <c r="A8">
        <v>3</v>
      </c>
      <c r="B8" s="44">
        <v>1.38E-2</v>
      </c>
      <c r="C8" s="55"/>
      <c r="D8" s="48">
        <f t="shared" si="16"/>
        <v>901.89208552800005</v>
      </c>
      <c r="E8" s="48">
        <f t="shared" si="0"/>
        <v>51.6144064</v>
      </c>
      <c r="F8" s="48">
        <f t="shared" si="1"/>
        <v>46.493508071999997</v>
      </c>
      <c r="H8" s="48">
        <f t="shared" si="2"/>
        <v>953.50649192800006</v>
      </c>
      <c r="I8" s="48">
        <f t="shared" si="3"/>
        <v>895.50828605160007</v>
      </c>
      <c r="J8" s="48">
        <f t="shared" si="4"/>
        <v>800.58243711923251</v>
      </c>
      <c r="K8" s="48">
        <f t="shared" si="5"/>
        <v>751.88602508412976</v>
      </c>
      <c r="L8" s="44"/>
      <c r="M8" s="48">
        <f>(D8*cAsymp+'Markov Model'!E8*cProg)/((1+cDR)^ncycle)</f>
        <v>508632.34579888091</v>
      </c>
      <c r="N8" s="44">
        <f t="shared" si="6"/>
        <v>3722.7661089355634</v>
      </c>
      <c r="O8" s="48">
        <f t="shared" si="7"/>
        <v>512355.11190781649</v>
      </c>
      <c r="R8" s="48">
        <f t="shared" si="17"/>
        <v>930.26143372800004</v>
      </c>
      <c r="S8" s="48">
        <f t="shared" si="8"/>
        <v>26.068658200000002</v>
      </c>
      <c r="T8" s="48">
        <f t="shared" si="9"/>
        <v>43.669908071999998</v>
      </c>
      <c r="V8" s="48">
        <f t="shared" si="10"/>
        <v>956.330091928</v>
      </c>
      <c r="W8" s="48">
        <f t="shared" si="11"/>
        <v>903.29985569159999</v>
      </c>
      <c r="X8" s="48">
        <f t="shared" si="12"/>
        <v>802.95318612680251</v>
      </c>
      <c r="Y8" s="48">
        <f t="shared" si="13"/>
        <v>758.42797719896271</v>
      </c>
      <c r="AA8" s="48">
        <f>(R8*(cAsymp+cDrug)+'Markov Model'!S8*cProg)/((1+cDR)^ncycle)</f>
        <v>1237261.4013514509</v>
      </c>
      <c r="AB8" s="44">
        <f t="shared" si="14"/>
        <v>1868.0580277678889</v>
      </c>
      <c r="AC8" s="48">
        <f t="shared" si="15"/>
        <v>1239129.4593792188</v>
      </c>
    </row>
    <row r="9" spans="1:29" x14ac:dyDescent="0.2">
      <c r="A9">
        <v>4</v>
      </c>
      <c r="B9" s="44">
        <v>1.38E-2</v>
      </c>
      <c r="C9" s="55"/>
      <c r="D9" s="48">
        <f t="shared" si="16"/>
        <v>853.37029132659359</v>
      </c>
      <c r="E9" s="48">
        <f t="shared" si="0"/>
        <v>79.235650052799997</v>
      </c>
      <c r="F9" s="48">
        <f t="shared" si="1"/>
        <v>67.394058620606401</v>
      </c>
      <c r="H9" s="48">
        <f t="shared" si="2"/>
        <v>932.60594137939358</v>
      </c>
      <c r="I9" s="48">
        <f t="shared" si="3"/>
        <v>870.12851429986392</v>
      </c>
      <c r="J9" s="48">
        <f t="shared" si="4"/>
        <v>738.71125646474638</v>
      </c>
      <c r="K9" s="48">
        <f t="shared" si="5"/>
        <v>689.22328237963541</v>
      </c>
      <c r="L9" s="44"/>
      <c r="M9" s="48">
        <f>(D9*cAsymp+'Markov Model'!E9*cProg)/((1+cDR)^ncycle)</f>
        <v>526260.76900579373</v>
      </c>
      <c r="N9" s="44">
        <f t="shared" si="6"/>
        <v>6500.4676343558758</v>
      </c>
      <c r="O9" s="48">
        <f t="shared" si="7"/>
        <v>532761.23664014961</v>
      </c>
      <c r="R9" s="48">
        <f t="shared" si="17"/>
        <v>898.8185972679936</v>
      </c>
      <c r="S9" s="48">
        <f t="shared" si="8"/>
        <v>40.403840661400004</v>
      </c>
      <c r="T9" s="48">
        <f t="shared" si="9"/>
        <v>60.7775620706064</v>
      </c>
      <c r="V9" s="48">
        <f t="shared" si="10"/>
        <v>939.22243792939355</v>
      </c>
      <c r="W9" s="48">
        <f t="shared" si="11"/>
        <v>884.18054790064389</v>
      </c>
      <c r="X9" s="48">
        <f t="shared" si="12"/>
        <v>743.9521414548376</v>
      </c>
      <c r="Y9" s="48">
        <f t="shared" si="13"/>
        <v>700.35380915042094</v>
      </c>
      <c r="AA9" s="48">
        <f>(R9*(cAsymp+cDrug)+'Markov Model'!S9*cProg)/((1+cDR)^ncycle)</f>
        <v>1163933.6514198168</v>
      </c>
      <c r="AB9" s="44">
        <f t="shared" si="14"/>
        <v>3283.1622161247196</v>
      </c>
      <c r="AC9" s="48">
        <f t="shared" si="15"/>
        <v>1167216.8136359416</v>
      </c>
    </row>
    <row r="10" spans="1:29" x14ac:dyDescent="0.2">
      <c r="A10">
        <v>5</v>
      </c>
      <c r="B10" s="44">
        <v>1.38E-2</v>
      </c>
      <c r="C10" s="55"/>
      <c r="D10" s="48">
        <f t="shared" si="16"/>
        <v>798.9252667399569</v>
      </c>
      <c r="E10" s="48">
        <f t="shared" si="0"/>
        <v>108.92536514048103</v>
      </c>
      <c r="F10" s="48">
        <f t="shared" si="1"/>
        <v>92.149368119562041</v>
      </c>
      <c r="H10" s="48">
        <f t="shared" si="2"/>
        <v>907.85063188043796</v>
      </c>
      <c r="I10" s="48">
        <f t="shared" si="3"/>
        <v>840.67302725831985</v>
      </c>
      <c r="J10" s="48">
        <f t="shared" si="4"/>
        <v>678.39880441427124</v>
      </c>
      <c r="K10" s="48">
        <f t="shared" si="5"/>
        <v>628.19979032682897</v>
      </c>
      <c r="L10" s="44"/>
      <c r="M10" s="48">
        <f>(D10*cAsymp+'Markov Model'!E10*cProg)/((1+cDR)^ncycle)</f>
        <v>542687.82554124552</v>
      </c>
      <c r="N10" s="44">
        <f t="shared" si="6"/>
        <v>9414.3084464052281</v>
      </c>
      <c r="O10" s="48">
        <f t="shared" si="7"/>
        <v>552102.13398765074</v>
      </c>
      <c r="R10" s="48">
        <f t="shared" si="17"/>
        <v>863.94443569399539</v>
      </c>
      <c r="S10" s="48">
        <f t="shared" si="8"/>
        <v>56.256156492762528</v>
      </c>
      <c r="T10" s="48">
        <f t="shared" si="9"/>
        <v>79.799407813242027</v>
      </c>
      <c r="V10" s="48">
        <f t="shared" si="10"/>
        <v>920.20059218675794</v>
      </c>
      <c r="W10" s="48">
        <f t="shared" si="11"/>
        <v>862.93933127886748</v>
      </c>
      <c r="X10" s="48">
        <f t="shared" si="12"/>
        <v>687.62741318774033</v>
      </c>
      <c r="Y10" s="48">
        <f t="shared" si="13"/>
        <v>644.83846798570346</v>
      </c>
      <c r="AA10" s="48">
        <f>(R10*(cAsymp+cDrug)+'Markov Model'!S10*cProg)/((1+cDR)^ncycle)</f>
        <v>1094497.9288514834</v>
      </c>
      <c r="AB10" s="44">
        <f t="shared" si="14"/>
        <v>4800.5439237560413</v>
      </c>
      <c r="AC10" s="48">
        <f t="shared" si="15"/>
        <v>1099298.4727752395</v>
      </c>
    </row>
    <row r="11" spans="1:29" x14ac:dyDescent="0.2">
      <c r="A11">
        <v>6</v>
      </c>
      <c r="B11" s="44">
        <v>1.38E-2</v>
      </c>
      <c r="C11" s="55"/>
      <c r="D11" s="48">
        <f t="shared" si="16"/>
        <v>739.96458205454815</v>
      </c>
      <c r="E11" s="48">
        <f t="shared" si="0"/>
        <v>139.01890633486767</v>
      </c>
      <c r="F11" s="48">
        <f t="shared" si="1"/>
        <v>121.01651161058423</v>
      </c>
      <c r="H11" s="48">
        <f t="shared" si="2"/>
        <v>878.98348838941581</v>
      </c>
      <c r="I11" s="48">
        <f t="shared" si="3"/>
        <v>807.23053270297146</v>
      </c>
      <c r="J11" s="48">
        <f t="shared" si="4"/>
        <v>619.64867501255446</v>
      </c>
      <c r="K11" s="48">
        <f t="shared" si="5"/>
        <v>569.06567259369456</v>
      </c>
      <c r="L11" s="44"/>
      <c r="M11" s="48">
        <f>(D11*cAsymp+'Markov Model'!E11*cProg)/((1+cDR)^ncycle)</f>
        <v>554831.44585917983</v>
      </c>
      <c r="N11" s="44">
        <f t="shared" si="6"/>
        <v>12209.305400046591</v>
      </c>
      <c r="O11" s="48">
        <f t="shared" si="7"/>
        <v>567040.75125922647</v>
      </c>
      <c r="R11" s="48">
        <f t="shared" si="17"/>
        <v>826.1036694105984</v>
      </c>
      <c r="S11" s="48">
        <f t="shared" si="8"/>
        <v>72.959731130067894</v>
      </c>
      <c r="T11" s="48">
        <f t="shared" si="9"/>
        <v>100.93659945933368</v>
      </c>
      <c r="V11" s="48">
        <f t="shared" si="10"/>
        <v>899.06340054066629</v>
      </c>
      <c r="W11" s="48">
        <f t="shared" si="11"/>
        <v>839.51828428761928</v>
      </c>
      <c r="X11" s="48">
        <f t="shared" si="12"/>
        <v>633.80422073468128</v>
      </c>
      <c r="Y11" s="48">
        <f t="shared" si="13"/>
        <v>591.82726340038994</v>
      </c>
      <c r="AA11" s="48">
        <f>(R11*(cAsymp+cDrug)+'Markov Model'!S11*cProg)/((1+cDR)^ncycle)</f>
        <v>1027856.9283337011</v>
      </c>
      <c r="AB11" s="44">
        <f t="shared" si="14"/>
        <v>6305.6809069873025</v>
      </c>
      <c r="AC11" s="48">
        <f t="shared" si="15"/>
        <v>1034162.6092406884</v>
      </c>
    </row>
    <row r="12" spans="1:29" x14ac:dyDescent="0.2">
      <c r="A12">
        <v>7</v>
      </c>
      <c r="B12" s="44">
        <v>1.38E-2</v>
      </c>
      <c r="C12" s="55"/>
      <c r="D12" s="48">
        <f t="shared" si="16"/>
        <v>677.95555007837697</v>
      </c>
      <c r="E12" s="48">
        <f t="shared" si="0"/>
        <v>168.0451302210347</v>
      </c>
      <c r="F12" s="48">
        <f t="shared" si="1"/>
        <v>153.99931970058833</v>
      </c>
      <c r="H12" s="48">
        <f t="shared" si="2"/>
        <v>846.00068029941167</v>
      </c>
      <c r="I12" s="48">
        <f t="shared" si="3"/>
        <v>770.09162024023408</v>
      </c>
      <c r="J12" s="48">
        <f t="shared" si="4"/>
        <v>562.6387705624594</v>
      </c>
      <c r="K12" s="48">
        <f t="shared" si="5"/>
        <v>512.15491018171815</v>
      </c>
      <c r="L12" s="44"/>
      <c r="M12" s="48">
        <f>(D12*cAsymp+'Markov Model'!E12*cProg)/((1+cDR)^ncycle)</f>
        <v>560718.40843895706</v>
      </c>
      <c r="N12" s="44">
        <f t="shared" si="6"/>
        <v>14700.426501174155</v>
      </c>
      <c r="O12" s="48">
        <f t="shared" si="7"/>
        <v>575418.83494013117</v>
      </c>
      <c r="R12" s="48">
        <f t="shared" si="17"/>
        <v>785.7898103433613</v>
      </c>
      <c r="S12" s="48">
        <f t="shared" si="8"/>
        <v>89.922555600333709</v>
      </c>
      <c r="T12" s="48">
        <f t="shared" si="9"/>
        <v>124.28763405630505</v>
      </c>
      <c r="V12" s="48">
        <f t="shared" si="10"/>
        <v>875.71236594369498</v>
      </c>
      <c r="W12" s="48">
        <f t="shared" si="11"/>
        <v>813.94223652644348</v>
      </c>
      <c r="X12" s="48">
        <f t="shared" si="12"/>
        <v>582.39873845790066</v>
      </c>
      <c r="Y12" s="48">
        <f t="shared" si="13"/>
        <v>541.31807447958522</v>
      </c>
      <c r="AA12" s="48">
        <f>(R12*(cAsymp+cDrug)+'Markov Model'!S12*cProg)/((1+cDR)^ncycle)</f>
        <v>963303.56060250395</v>
      </c>
      <c r="AB12" s="44">
        <f t="shared" si="14"/>
        <v>7715.0597231679203</v>
      </c>
      <c r="AC12" s="48">
        <f t="shared" si="15"/>
        <v>971018.62032567186</v>
      </c>
    </row>
    <row r="13" spans="1:29" x14ac:dyDescent="0.2">
      <c r="A13">
        <v>8</v>
      </c>
      <c r="B13" s="44">
        <v>1.38E-2</v>
      </c>
      <c r="C13" s="55"/>
      <c r="D13" s="48">
        <f t="shared" si="16"/>
        <v>614.3633194810252</v>
      </c>
      <c r="E13" s="48">
        <f t="shared" si="0"/>
        <v>194.75578189709938</v>
      </c>
      <c r="F13" s="48">
        <f t="shared" si="1"/>
        <v>190.88089862187542</v>
      </c>
      <c r="H13" s="48">
        <f t="shared" si="2"/>
        <v>809.11910137812458</v>
      </c>
      <c r="I13" s="48">
        <f t="shared" si="3"/>
        <v>729.71198992979839</v>
      </c>
      <c r="J13" s="48">
        <f t="shared" si="4"/>
        <v>507.65133409361687</v>
      </c>
      <c r="K13" s="48">
        <f t="shared" si="5"/>
        <v>457.83032999841782</v>
      </c>
      <c r="L13" s="44"/>
      <c r="M13" s="48">
        <f>(D13*cAsymp+'Markov Model'!E13*cProg)/((1+cDR)^ncycle)</f>
        <v>559306.13442828518</v>
      </c>
      <c r="N13" s="44">
        <f t="shared" si="6"/>
        <v>16763.941389463638</v>
      </c>
      <c r="O13" s="48">
        <f t="shared" si="7"/>
        <v>576070.07581774879</v>
      </c>
      <c r="R13" s="48">
        <f t="shared" si="17"/>
        <v>743.51431854688838</v>
      </c>
      <c r="S13" s="48">
        <f t="shared" si="8"/>
        <v>106.62483340673349</v>
      </c>
      <c r="T13" s="48">
        <f t="shared" si="9"/>
        <v>149.86084804637809</v>
      </c>
      <c r="V13" s="48">
        <f t="shared" si="10"/>
        <v>850.13915195362188</v>
      </c>
      <c r="W13" s="48">
        <f t="shared" si="11"/>
        <v>786.30722767459406</v>
      </c>
      <c r="X13" s="48">
        <f t="shared" si="12"/>
        <v>533.38782129775132</v>
      </c>
      <c r="Y13" s="48">
        <f t="shared" si="13"/>
        <v>493.3388823185345</v>
      </c>
      <c r="AA13" s="48">
        <f>(R13*(cAsymp+cDrug)+'Markov Model'!S13*cProg)/((1+cDR)^ncycle)</f>
        <v>900428.34130409581</v>
      </c>
      <c r="AB13" s="44">
        <f t="shared" si="14"/>
        <v>8970.545291565295</v>
      </c>
      <c r="AC13" s="48">
        <f t="shared" si="15"/>
        <v>909398.88659566105</v>
      </c>
    </row>
    <row r="14" spans="1:29" x14ac:dyDescent="0.2">
      <c r="A14">
        <v>9</v>
      </c>
      <c r="B14" s="44">
        <v>1.38E-2</v>
      </c>
      <c r="C14" s="55"/>
      <c r="D14" s="48">
        <f t="shared" si="16"/>
        <v>550.59240691889477</v>
      </c>
      <c r="E14" s="48">
        <f t="shared" si="0"/>
        <v>218.14748357564676</v>
      </c>
      <c r="F14" s="48">
        <f t="shared" si="1"/>
        <v>231.26010950545844</v>
      </c>
      <c r="H14" s="48">
        <f t="shared" si="2"/>
        <v>768.73989049454156</v>
      </c>
      <c r="I14" s="48">
        <f t="shared" si="3"/>
        <v>686.67339925468514</v>
      </c>
      <c r="J14" s="48">
        <f t="shared" si="4"/>
        <v>455.01596003795879</v>
      </c>
      <c r="K14" s="48">
        <f t="shared" si="5"/>
        <v>406.44092996578757</v>
      </c>
      <c r="L14" s="44"/>
      <c r="M14" s="48">
        <f>(D14*cAsymp+'Markov Model'!E14*cProg)/((1+cDR)^ncycle)</f>
        <v>550310.88089739613</v>
      </c>
      <c r="N14" s="44">
        <f t="shared" si="6"/>
        <v>18328.828042888603</v>
      </c>
      <c r="O14" s="48">
        <f t="shared" si="7"/>
        <v>568639.70894028468</v>
      </c>
      <c r="R14" s="48">
        <f t="shared" si="17"/>
        <v>699.79567661633132</v>
      </c>
      <c r="S14" s="48">
        <f t="shared" si="8"/>
        <v>122.61783002932052</v>
      </c>
      <c r="T14" s="48">
        <f t="shared" si="9"/>
        <v>177.58649335434808</v>
      </c>
      <c r="V14" s="48">
        <f t="shared" si="10"/>
        <v>822.41350664565186</v>
      </c>
      <c r="W14" s="48">
        <f t="shared" si="11"/>
        <v>756.76926530750507</v>
      </c>
      <c r="X14" s="48">
        <f t="shared" si="12"/>
        <v>486.78529096990133</v>
      </c>
      <c r="Y14" s="48">
        <f t="shared" si="13"/>
        <v>447.93056538225812</v>
      </c>
      <c r="AA14" s="48">
        <f>(R14*(cAsymp+cDrug)+'Markov Model'!S14*cProg)/((1+cDR)^ncycle)</f>
        <v>839043.89424846275</v>
      </c>
      <c r="AB14" s="44">
        <f t="shared" si="14"/>
        <v>10034.660935746879</v>
      </c>
      <c r="AC14" s="48">
        <f t="shared" si="15"/>
        <v>849078.5551842096</v>
      </c>
    </row>
    <row r="15" spans="1:29" x14ac:dyDescent="0.2">
      <c r="A15">
        <v>10</v>
      </c>
      <c r="B15" s="44">
        <v>1.38E-2</v>
      </c>
      <c r="C15" s="55"/>
      <c r="D15" s="48">
        <f t="shared" si="16"/>
        <v>487.93499101152457</v>
      </c>
      <c r="E15" s="48">
        <f t="shared" si="0"/>
        <v>237.47416645784529</v>
      </c>
      <c r="F15" s="48">
        <f t="shared" si="1"/>
        <v>274.59084253063014</v>
      </c>
      <c r="H15" s="48">
        <f t="shared" si="2"/>
        <v>725.4091574693698</v>
      </c>
      <c r="I15" s="48">
        <f t="shared" si="3"/>
        <v>641.64386630433228</v>
      </c>
      <c r="J15" s="48">
        <f t="shared" si="4"/>
        <v>405.06468465729239</v>
      </c>
      <c r="K15" s="48">
        <f t="shared" si="5"/>
        <v>358.29058358396134</v>
      </c>
      <c r="L15" s="44"/>
      <c r="M15" s="48">
        <f>(D15*cAsymp+'Markov Model'!E15*cProg)/((1+cDR)^ncycle)</f>
        <v>534043.17783447646</v>
      </c>
      <c r="N15" s="44">
        <f t="shared" si="6"/>
        <v>19368.174052705002</v>
      </c>
      <c r="O15" s="48">
        <f t="shared" si="7"/>
        <v>553411.35188718152</v>
      </c>
      <c r="R15" s="48">
        <f t="shared" si="17"/>
        <v>655.14871244820938</v>
      </c>
      <c r="S15" s="48">
        <f t="shared" si="8"/>
        <v>137.52281330133437</v>
      </c>
      <c r="T15" s="48">
        <f t="shared" si="9"/>
        <v>207.32847425045617</v>
      </c>
      <c r="V15" s="48">
        <f t="shared" si="10"/>
        <v>792.67152574954378</v>
      </c>
      <c r="W15" s="48">
        <f t="shared" si="11"/>
        <v>725.53338680179968</v>
      </c>
      <c r="X15" s="48">
        <f t="shared" si="12"/>
        <v>442.62363978788261</v>
      </c>
      <c r="Y15" s="48">
        <f t="shared" si="13"/>
        <v>405.13405366766085</v>
      </c>
      <c r="AA15" s="48">
        <f>(R15*(cAsymp+cDrug)+'Markov Model'!S15*cProg)/((1+cDR)^ncycle)</f>
        <v>779123.49066303088</v>
      </c>
      <c r="AB15" s="44">
        <f t="shared" si="14"/>
        <v>10886.595779361087</v>
      </c>
      <c r="AC15" s="48">
        <f t="shared" si="15"/>
        <v>790010.08644239197</v>
      </c>
    </row>
    <row r="16" spans="1:29" x14ac:dyDescent="0.2">
      <c r="A16">
        <v>11</v>
      </c>
      <c r="B16" s="44">
        <v>3.7900000000000003E-2</v>
      </c>
      <c r="C16" s="55"/>
      <c r="D16" s="48">
        <f t="shared" si="16"/>
        <v>415.76940584092011</v>
      </c>
      <c r="E16" s="48">
        <f t="shared" si="0"/>
        <v>246.52561959168384</v>
      </c>
      <c r="F16" s="48">
        <f t="shared" si="1"/>
        <v>337.70497456739605</v>
      </c>
      <c r="H16" s="48">
        <f t="shared" si="2"/>
        <v>662.29502543260401</v>
      </c>
      <c r="I16" s="48">
        <f t="shared" si="3"/>
        <v>579.87515024263689</v>
      </c>
      <c r="J16" s="48">
        <f t="shared" si="4"/>
        <v>348.88875752682185</v>
      </c>
      <c r="K16" s="48">
        <f t="shared" si="5"/>
        <v>305.47099543241285</v>
      </c>
      <c r="L16" s="44"/>
      <c r="M16" s="48">
        <f>(D16*cAsymp+'Markov Model'!E16*cProg)/((1+cDR)^ncycle)</f>
        <v>499110.93148925877</v>
      </c>
      <c r="N16" s="44">
        <f t="shared" si="6"/>
        <v>19890.650130349812</v>
      </c>
      <c r="O16" s="48">
        <f t="shared" si="7"/>
        <v>519001.58161960857</v>
      </c>
      <c r="R16" s="48">
        <f t="shared" si="17"/>
        <v>594.28539706177082</v>
      </c>
      <c r="S16" s="48">
        <f t="shared" si="8"/>
        <v>147.71545586666514</v>
      </c>
      <c r="T16" s="48">
        <f t="shared" si="9"/>
        <v>257.99914707156404</v>
      </c>
      <c r="V16" s="48">
        <f t="shared" si="10"/>
        <v>742.00085292843596</v>
      </c>
      <c r="W16" s="48">
        <f t="shared" si="11"/>
        <v>675.35771910868107</v>
      </c>
      <c r="X16" s="48">
        <f t="shared" si="12"/>
        <v>390.87679315264256</v>
      </c>
      <c r="Y16" s="48">
        <f t="shared" si="13"/>
        <v>355.77002160339129</v>
      </c>
      <c r="AA16" s="48">
        <f>(R16*(cAsymp+cDrug)+'Markov Model'!S16*cProg)/((1+cDR)^ncycle)</f>
        <v>703037.1789161074</v>
      </c>
      <c r="AB16" s="44">
        <f t="shared" si="14"/>
        <v>11518.803098120699</v>
      </c>
      <c r="AC16" s="48">
        <f t="shared" si="15"/>
        <v>714555.98201422812</v>
      </c>
    </row>
    <row r="17" spans="1:29" x14ac:dyDescent="0.2">
      <c r="A17">
        <v>12</v>
      </c>
      <c r="B17" s="44">
        <v>3.7900000000000003E-2</v>
      </c>
      <c r="C17" s="55"/>
      <c r="D17" s="48">
        <f t="shared" si="16"/>
        <v>350.1194166586389</v>
      </c>
      <c r="E17" s="48">
        <f t="shared" si="0"/>
        <v>250.09578437131682</v>
      </c>
      <c r="F17" s="48">
        <f t="shared" si="1"/>
        <v>399.78479897004433</v>
      </c>
      <c r="H17" s="48">
        <f t="shared" si="2"/>
        <v>600.21520102995578</v>
      </c>
      <c r="I17" s="48">
        <f t="shared" si="3"/>
        <v>520.18528410419458</v>
      </c>
      <c r="J17" s="48">
        <f t="shared" si="4"/>
        <v>298.28856646509854</v>
      </c>
      <c r="K17" s="48">
        <f t="shared" si="5"/>
        <v>258.5161495833828</v>
      </c>
      <c r="L17" s="44"/>
      <c r="M17" s="48">
        <f>(D17*cAsymp+'Markov Model'!E17*cProg)/((1+cDR)^ncycle)</f>
        <v>459869.14021330944</v>
      </c>
      <c r="N17" s="44">
        <f t="shared" si="6"/>
        <v>19479.993163550866</v>
      </c>
      <c r="O17" s="48">
        <f t="shared" si="7"/>
        <v>479349.13337686029</v>
      </c>
      <c r="R17" s="48">
        <f t="shared" si="17"/>
        <v>536.10485668942351</v>
      </c>
      <c r="S17" s="48">
        <f t="shared" si="8"/>
        <v>155.61684553302499</v>
      </c>
      <c r="T17" s="48">
        <f t="shared" si="9"/>
        <v>308.27829777755153</v>
      </c>
      <c r="V17" s="48">
        <f t="shared" si="10"/>
        <v>691.72170222244847</v>
      </c>
      <c r="W17" s="48">
        <f t="shared" si="11"/>
        <v>626.01224800472107</v>
      </c>
      <c r="X17" s="48">
        <f t="shared" si="12"/>
        <v>343.76449412588966</v>
      </c>
      <c r="Y17" s="48">
        <f t="shared" si="13"/>
        <v>311.10890848231361</v>
      </c>
      <c r="AA17" s="48">
        <f>(R17*(cAsymp+cDrug)+'Markov Model'!S17*cProg)/((1+cDR)^ncycle)</f>
        <v>631651.94821844622</v>
      </c>
      <c r="AB17" s="44">
        <f t="shared" si="14"/>
        <v>11672.198918714348</v>
      </c>
      <c r="AC17" s="48">
        <f t="shared" si="15"/>
        <v>643324.14713716053</v>
      </c>
    </row>
    <row r="18" spans="1:29" x14ac:dyDescent="0.2">
      <c r="A18">
        <v>13</v>
      </c>
      <c r="B18" s="44">
        <v>3.7900000000000003E-2</v>
      </c>
      <c r="C18" s="55"/>
      <c r="D18" s="48">
        <f t="shared" si="16"/>
        <v>291.33436660165336</v>
      </c>
      <c r="E18" s="48">
        <f t="shared" si="0"/>
        <v>248.61831065356944</v>
      </c>
      <c r="F18" s="48">
        <f t="shared" si="1"/>
        <v>460.0473227447772</v>
      </c>
      <c r="H18" s="48">
        <f t="shared" si="2"/>
        <v>539.95267725522285</v>
      </c>
      <c r="I18" s="48">
        <f t="shared" si="3"/>
        <v>463.23138126174774</v>
      </c>
      <c r="J18" s="48">
        <f t="shared" si="4"/>
        <v>253.1508852615336</v>
      </c>
      <c r="K18" s="48">
        <f t="shared" si="5"/>
        <v>217.18094786277888</v>
      </c>
      <c r="L18" s="44"/>
      <c r="M18" s="48">
        <f>(D18*cAsymp+'Markov Model'!E18*cProg)/((1+cDR)^ncycle)</f>
        <v>417980.35682674183</v>
      </c>
      <c r="N18" s="44">
        <f t="shared" si="6"/>
        <v>18643.49141884561</v>
      </c>
      <c r="O18" s="48">
        <f t="shared" si="7"/>
        <v>436623.84824558743</v>
      </c>
      <c r="R18" s="48">
        <f t="shared" si="17"/>
        <v>480.93966693608189</v>
      </c>
      <c r="S18" s="48">
        <f t="shared" si="8"/>
        <v>161.22325594218211</v>
      </c>
      <c r="T18" s="48">
        <f t="shared" si="9"/>
        <v>357.83707712173606</v>
      </c>
      <c r="V18" s="48">
        <f t="shared" si="10"/>
        <v>642.162922878264</v>
      </c>
      <c r="W18" s="48">
        <f t="shared" si="11"/>
        <v>577.81012554591439</v>
      </c>
      <c r="X18" s="48">
        <f t="shared" si="12"/>
        <v>301.07103688260122</v>
      </c>
      <c r="Y18" s="48">
        <f t="shared" si="13"/>
        <v>270.89993430273569</v>
      </c>
      <c r="AA18" s="48">
        <f>(R18*(cAsymp+cDrug)+'Markov Model'!S18*cProg)/((1+cDR)^ncycle)</f>
        <v>564988.18584191799</v>
      </c>
      <c r="AB18" s="44">
        <f t="shared" si="14"/>
        <v>11600.520702961174</v>
      </c>
      <c r="AC18" s="48">
        <f t="shared" si="15"/>
        <v>576588.70654487913</v>
      </c>
    </row>
    <row r="19" spans="1:29" x14ac:dyDescent="0.2">
      <c r="A19">
        <v>14</v>
      </c>
      <c r="B19" s="44">
        <v>3.7900000000000003E-2</v>
      </c>
      <c r="C19" s="55"/>
      <c r="D19" s="48">
        <f t="shared" si="16"/>
        <v>239.50598278321922</v>
      </c>
      <c r="E19" s="48">
        <f t="shared" si="0"/>
        <v>242.68974140599519</v>
      </c>
      <c r="F19" s="48">
        <f t="shared" si="1"/>
        <v>517.80427581078561</v>
      </c>
      <c r="H19" s="48">
        <f t="shared" si="2"/>
        <v>482.19572418921439</v>
      </c>
      <c r="I19" s="48">
        <f t="shared" si="3"/>
        <v>409.54798969855466</v>
      </c>
      <c r="J19" s="48">
        <f t="shared" si="4"/>
        <v>213.27563382864429</v>
      </c>
      <c r="K19" s="48">
        <f t="shared" si="5"/>
        <v>181.14347080342708</v>
      </c>
      <c r="L19" s="44"/>
      <c r="M19" s="48">
        <f>(D19*cAsymp+'Markov Model'!E19*cProg)/((1+cDR)^ncycle)</f>
        <v>374992.58358663489</v>
      </c>
      <c r="N19" s="44">
        <f t="shared" si="6"/>
        <v>17484.294851758499</v>
      </c>
      <c r="O19" s="48">
        <f t="shared" si="7"/>
        <v>392476.87843839341</v>
      </c>
      <c r="R19" s="48">
        <f t="shared" si="17"/>
        <v>429.04627687367855</v>
      </c>
      <c r="S19" s="48">
        <f t="shared" si="8"/>
        <v>164.59518283617183</v>
      </c>
      <c r="T19" s="48">
        <f t="shared" si="9"/>
        <v>406.35854029014962</v>
      </c>
      <c r="V19" s="48">
        <f t="shared" si="10"/>
        <v>593.64145970985032</v>
      </c>
      <c r="W19" s="48">
        <f t="shared" si="11"/>
        <v>531.0403501571235</v>
      </c>
      <c r="X19" s="48">
        <f t="shared" si="12"/>
        <v>262.56819012542354</v>
      </c>
      <c r="Y19" s="48">
        <f t="shared" si="13"/>
        <v>234.87965899901491</v>
      </c>
      <c r="AA19" s="48">
        <f>(R19*(cAsymp+cDrug)+'Markov Model'!S19*cProg)/((1+cDR)^ncycle)</f>
        <v>503053.19733916636</v>
      </c>
      <c r="AB19" s="44">
        <f t="shared" si="14"/>
        <v>11338.163051801617</v>
      </c>
      <c r="AC19" s="48">
        <f t="shared" si="15"/>
        <v>514391.36039096798</v>
      </c>
    </row>
    <row r="20" spans="1:29" x14ac:dyDescent="0.2">
      <c r="A20">
        <v>15</v>
      </c>
      <c r="B20" s="44">
        <v>3.7900000000000003E-2</v>
      </c>
      <c r="C20" s="55"/>
      <c r="D20" s="48">
        <f t="shared" si="16"/>
        <v>194.50280861825229</v>
      </c>
      <c r="E20" s="48">
        <f t="shared" si="0"/>
        <v>233.01423641329154</v>
      </c>
      <c r="F20" s="48">
        <f t="shared" si="1"/>
        <v>572.48295496845617</v>
      </c>
      <c r="H20" s="48">
        <f t="shared" si="2"/>
        <v>427.51704503154383</v>
      </c>
      <c r="I20" s="48">
        <f t="shared" si="3"/>
        <v>359.53834549730834</v>
      </c>
      <c r="J20" s="48">
        <f t="shared" si="4"/>
        <v>178.38792576056588</v>
      </c>
      <c r="K20" s="48">
        <f t="shared" si="5"/>
        <v>150.02278957069007</v>
      </c>
      <c r="L20" s="44"/>
      <c r="M20" s="48">
        <f>(D20*cAsymp+'Markov Model'!E20*cProg)/((1+cDR)^ncycle)</f>
        <v>332265.7116533771</v>
      </c>
      <c r="N20" s="44">
        <f t="shared" si="6"/>
        <v>16101.286000338767</v>
      </c>
      <c r="O20" s="48">
        <f t="shared" si="7"/>
        <v>348366.99765371589</v>
      </c>
      <c r="R20" s="48">
        <f t="shared" si="17"/>
        <v>380.60695221464027</v>
      </c>
      <c r="S20" s="48">
        <f t="shared" si="8"/>
        <v>165.84621874678103</v>
      </c>
      <c r="T20" s="48">
        <f t="shared" si="9"/>
        <v>453.54682903857872</v>
      </c>
      <c r="V20" s="48">
        <f t="shared" si="10"/>
        <v>546.45317096142128</v>
      </c>
      <c r="W20" s="48">
        <f t="shared" si="11"/>
        <v>485.96126866399402</v>
      </c>
      <c r="X20" s="48">
        <f t="shared" si="12"/>
        <v>228.01581557034606</v>
      </c>
      <c r="Y20" s="48">
        <f t="shared" si="13"/>
        <v>202.77465828420171</v>
      </c>
      <c r="AA20" s="48">
        <f>(R20*(cAsymp+cDrug)+'Markov Model'!S20*cProg)/((1+cDR)^ncycle)</f>
        <v>445826.47216272209</v>
      </c>
      <c r="AB20" s="44">
        <f t="shared" si="14"/>
        <v>10920.091215103108</v>
      </c>
      <c r="AC20" s="48">
        <f t="shared" si="15"/>
        <v>456746.56337782519</v>
      </c>
    </row>
    <row r="21" spans="1:29" x14ac:dyDescent="0.2">
      <c r="A21">
        <v>16</v>
      </c>
      <c r="B21" s="44">
        <v>3.7900000000000003E-2</v>
      </c>
      <c r="C21" s="55"/>
      <c r="D21" s="48">
        <f t="shared" si="16"/>
        <v>156.01070279270016</v>
      </c>
      <c r="E21" s="48">
        <f t="shared" si="0"/>
        <v>220.35131077015441</v>
      </c>
      <c r="F21" s="48">
        <f t="shared" si="1"/>
        <v>623.6379864371454</v>
      </c>
      <c r="H21" s="48">
        <f t="shared" si="2"/>
        <v>376.3620135628546</v>
      </c>
      <c r="I21" s="48">
        <f t="shared" si="3"/>
        <v>313.47365073068096</v>
      </c>
      <c r="J21" s="48">
        <f t="shared" si="4"/>
        <v>148.15350796967437</v>
      </c>
      <c r="K21" s="48">
        <f t="shared" si="5"/>
        <v>123.39773765200867</v>
      </c>
      <c r="L21" s="44"/>
      <c r="M21" s="48">
        <f>(D21*cAsymp+'Markov Model'!E21*cProg)/((1+cDR)^ncycle)</f>
        <v>290927.94047461182</v>
      </c>
      <c r="N21" s="44">
        <f t="shared" si="6"/>
        <v>14584.304926385646</v>
      </c>
      <c r="O21" s="48">
        <f t="shared" si="7"/>
        <v>305512.24540099746</v>
      </c>
      <c r="R21" s="48">
        <f t="shared" si="17"/>
        <v>335.7333925485342</v>
      </c>
      <c r="S21" s="48">
        <f t="shared" si="8"/>
        <v>165.13227042143208</v>
      </c>
      <c r="T21" s="48">
        <f t="shared" si="9"/>
        <v>499.13433703003375</v>
      </c>
      <c r="V21" s="48">
        <f t="shared" si="10"/>
        <v>500.86566296996625</v>
      </c>
      <c r="W21" s="48">
        <f t="shared" si="11"/>
        <v>442.79592573718156</v>
      </c>
      <c r="X21" s="48">
        <f t="shared" si="12"/>
        <v>197.16390686746198</v>
      </c>
      <c r="Y21" s="48">
        <f t="shared" si="13"/>
        <v>174.304970609599</v>
      </c>
      <c r="AA21" s="48">
        <f>(R21*(cAsymp+cDrug)+'Markov Model'!S21*cProg)/((1+cDR)^ncycle)</f>
        <v>393251.41715986736</v>
      </c>
      <c r="AB21" s="44">
        <f t="shared" si="14"/>
        <v>10380.274880720295</v>
      </c>
      <c r="AC21" s="48">
        <f t="shared" si="15"/>
        <v>403631.69204058766</v>
      </c>
    </row>
    <row r="22" spans="1:29" x14ac:dyDescent="0.2">
      <c r="A22">
        <v>17</v>
      </c>
      <c r="B22" s="44">
        <v>3.7900000000000003E-2</v>
      </c>
      <c r="C22" s="55"/>
      <c r="D22" s="48">
        <f t="shared" si="16"/>
        <v>123.57607768209789</v>
      </c>
      <c r="E22" s="48">
        <f t="shared" si="0"/>
        <v>205.46911895120144</v>
      </c>
      <c r="F22" s="48">
        <f t="shared" si="1"/>
        <v>670.95480336670073</v>
      </c>
      <c r="H22" s="48">
        <f t="shared" si="2"/>
        <v>329.04519663329933</v>
      </c>
      <c r="I22" s="48">
        <f t="shared" si="3"/>
        <v>271.49911301139412</v>
      </c>
      <c r="J22" s="48">
        <f t="shared" si="4"/>
        <v>122.19567813984646</v>
      </c>
      <c r="K22" s="48">
        <f t="shared" si="5"/>
        <v>100.82511025306579</v>
      </c>
      <c r="L22" s="44"/>
      <c r="M22" s="48">
        <f>(D22*cAsymp+'Markov Model'!E22*cProg)/((1+cDR)^ncycle)</f>
        <v>251857.63881727782</v>
      </c>
      <c r="N22" s="44">
        <f t="shared" si="6"/>
        <v>13011.071189386477</v>
      </c>
      <c r="O22" s="48">
        <f t="shared" si="7"/>
        <v>264868.71000666427</v>
      </c>
      <c r="R22" s="48">
        <f t="shared" si="17"/>
        <v>294.47175860431946</v>
      </c>
      <c r="S22" s="48">
        <f t="shared" si="8"/>
        <v>162.64125517587041</v>
      </c>
      <c r="T22" s="48">
        <f t="shared" si="9"/>
        <v>542.88698621981018</v>
      </c>
      <c r="V22" s="48">
        <f t="shared" si="10"/>
        <v>457.11301378018987</v>
      </c>
      <c r="W22" s="48">
        <f t="shared" si="11"/>
        <v>401.72911205600627</v>
      </c>
      <c r="X22" s="48">
        <f t="shared" si="12"/>
        <v>169.75550859558282</v>
      </c>
      <c r="Y22" s="48">
        <f t="shared" si="13"/>
        <v>149.18789813215039</v>
      </c>
      <c r="AA22" s="48">
        <f>(R22*(cAsymp+cDrug)+'Markov Model'!S22*cProg)/((1+cDR)^ncycle)</f>
        <v>345232.0256457738</v>
      </c>
      <c r="AB22" s="44">
        <f t="shared" si="14"/>
        <v>9750.5556858674354</v>
      </c>
      <c r="AC22" s="48">
        <f t="shared" si="15"/>
        <v>354982.58133164124</v>
      </c>
    </row>
    <row r="23" spans="1:29" x14ac:dyDescent="0.2">
      <c r="A23">
        <v>18</v>
      </c>
      <c r="B23" s="44">
        <v>3.7900000000000003E-2</v>
      </c>
      <c r="C23" s="55"/>
      <c r="D23" s="48">
        <f t="shared" si="16"/>
        <v>96.648850355168747</v>
      </c>
      <c r="E23" s="48">
        <f t="shared" si="0"/>
        <v>189.1051654830483</v>
      </c>
      <c r="F23" s="48">
        <f t="shared" si="1"/>
        <v>714.24598416178299</v>
      </c>
      <c r="H23" s="48">
        <f t="shared" si="2"/>
        <v>285.75401583821701</v>
      </c>
      <c r="I23" s="48">
        <f t="shared" si="3"/>
        <v>233.64528194969654</v>
      </c>
      <c r="J23" s="48">
        <f t="shared" si="4"/>
        <v>100.11214523915565</v>
      </c>
      <c r="K23" s="48">
        <f t="shared" si="5"/>
        <v>81.856173857708541</v>
      </c>
      <c r="L23" s="44"/>
      <c r="M23" s="48">
        <f>(D23*cAsymp+'Markov Model'!E23*cProg)/((1+cDR)^ncycle)</f>
        <v>215685.62411319459</v>
      </c>
      <c r="N23" s="44">
        <f t="shared" si="6"/>
        <v>11445.587984841275</v>
      </c>
      <c r="O23" s="48">
        <f t="shared" si="7"/>
        <v>227131.21209803587</v>
      </c>
      <c r="R23" s="48">
        <f t="shared" si="17"/>
        <v>256.80882067882692</v>
      </c>
      <c r="S23" s="48">
        <f t="shared" si="8"/>
        <v>158.58342160271309</v>
      </c>
      <c r="T23" s="48">
        <f t="shared" si="9"/>
        <v>584.60775771845999</v>
      </c>
      <c r="V23" s="48">
        <f t="shared" si="10"/>
        <v>415.39224228154001</v>
      </c>
      <c r="W23" s="48">
        <f t="shared" si="11"/>
        <v>362.90594584692042</v>
      </c>
      <c r="X23" s="48">
        <f t="shared" si="12"/>
        <v>145.53009296657569</v>
      </c>
      <c r="Y23" s="48">
        <f t="shared" si="13"/>
        <v>127.14184489133983</v>
      </c>
      <c r="AA23" s="48">
        <f>(R23*(cAsymp+cDrug)+'Markov Model'!S23*cProg)/((1+cDR)^ncycle)</f>
        <v>301633.21515166672</v>
      </c>
      <c r="AB23" s="44">
        <f t="shared" si="14"/>
        <v>9059.8762752399543</v>
      </c>
      <c r="AC23" s="48">
        <f t="shared" si="15"/>
        <v>310693.0914269067</v>
      </c>
    </row>
    <row r="24" spans="1:29" x14ac:dyDescent="0.2">
      <c r="A24">
        <v>19</v>
      </c>
      <c r="B24" s="44">
        <v>3.7900000000000003E-2</v>
      </c>
      <c r="C24" s="55"/>
      <c r="D24" s="48">
        <f t="shared" si="16"/>
        <v>74.622577359225716</v>
      </c>
      <c r="E24" s="48">
        <f t="shared" si="0"/>
        <v>171.93558645626558</v>
      </c>
      <c r="F24" s="48">
        <f t="shared" si="1"/>
        <v>753.4418361845087</v>
      </c>
      <c r="H24" s="48">
        <f t="shared" si="2"/>
        <v>246.5581638154913</v>
      </c>
      <c r="I24" s="48">
        <f t="shared" si="3"/>
        <v>199.84313833346363</v>
      </c>
      <c r="J24" s="48">
        <f t="shared" si="4"/>
        <v>81.490680985825108</v>
      </c>
      <c r="K24" s="48">
        <f t="shared" si="5"/>
        <v>66.050757278210995</v>
      </c>
      <c r="L24" s="44"/>
      <c r="M24" s="48">
        <f>(D24*cAsymp+'Markov Model'!E24*cProg)/((1+cDR)^ncycle)</f>
        <v>182812.7112219483</v>
      </c>
      <c r="N24" s="44">
        <f t="shared" si="6"/>
        <v>9937.7730896170033</v>
      </c>
      <c r="O24" s="48">
        <f t="shared" si="7"/>
        <v>192750.48431156529</v>
      </c>
      <c r="R24" s="48">
        <f t="shared" si="17"/>
        <v>222.67892841061087</v>
      </c>
      <c r="S24" s="48">
        <f t="shared" si="8"/>
        <v>153.18243464805184</v>
      </c>
      <c r="T24" s="48">
        <f t="shared" si="9"/>
        <v>624.13863694133727</v>
      </c>
      <c r="V24" s="48">
        <f t="shared" si="10"/>
        <v>375.86136305866273</v>
      </c>
      <c r="W24" s="48">
        <f t="shared" si="11"/>
        <v>326.43180797611922</v>
      </c>
      <c r="X24" s="48">
        <f t="shared" si="12"/>
        <v>124.22707063486996</v>
      </c>
      <c r="Y24" s="48">
        <f t="shared" si="13"/>
        <v>107.88995957690003</v>
      </c>
      <c r="AA24" s="48">
        <f>(R24*(cAsymp+cDrug)+'Markov Model'!S24*cProg)/((1+cDR)^ncycle)</f>
        <v>262283.78739900311</v>
      </c>
      <c r="AB24" s="44">
        <f t="shared" si="14"/>
        <v>8333.8075701803191</v>
      </c>
      <c r="AC24" s="48">
        <f t="shared" si="15"/>
        <v>270617.59496918344</v>
      </c>
    </row>
    <row r="25" spans="1:29" x14ac:dyDescent="0.2">
      <c r="A25">
        <v>20</v>
      </c>
      <c r="B25" s="44">
        <v>3.7900000000000003E-2</v>
      </c>
      <c r="C25" s="55"/>
      <c r="D25" s="48">
        <f t="shared" si="16"/>
        <v>56.869866205465883</v>
      </c>
      <c r="E25" s="48">
        <f t="shared" si="0"/>
        <v>154.55340523297843</v>
      </c>
      <c r="F25" s="48">
        <f t="shared" si="1"/>
        <v>788.57672856155568</v>
      </c>
      <c r="H25" s="48">
        <f t="shared" si="2"/>
        <v>211.42327143844432</v>
      </c>
      <c r="I25" s="48">
        <f t="shared" si="3"/>
        <v>169.94142681992642</v>
      </c>
      <c r="J25" s="48">
        <f t="shared" si="4"/>
        <v>65.922775408226599</v>
      </c>
      <c r="K25" s="48">
        <f t="shared" si="5"/>
        <v>52.988540176218635</v>
      </c>
      <c r="L25" s="44"/>
      <c r="M25" s="48">
        <f>(D25*cAsymp+'Markov Model'!E25*cProg)/((1+cDR)^ncycle)</f>
        <v>153437.59347407118</v>
      </c>
      <c r="N25" s="44">
        <f t="shared" si="6"/>
        <v>8524.0422437421439</v>
      </c>
      <c r="O25" s="48">
        <f t="shared" si="7"/>
        <v>161961.63571781333</v>
      </c>
      <c r="R25" s="48">
        <f t="shared" si="17"/>
        <v>191.97150418278773</v>
      </c>
      <c r="S25" s="48">
        <f t="shared" si="8"/>
        <v>146.66734801874395</v>
      </c>
      <c r="T25" s="48">
        <f t="shared" si="9"/>
        <v>661.36114779846832</v>
      </c>
      <c r="V25" s="48">
        <f t="shared" si="10"/>
        <v>338.63885220153168</v>
      </c>
      <c r="W25" s="48">
        <f t="shared" si="11"/>
        <v>292.37343998770632</v>
      </c>
      <c r="X25" s="48">
        <f t="shared" si="12"/>
        <v>105.58919482371564</v>
      </c>
      <c r="Y25" s="48">
        <f t="shared" si="13"/>
        <v>91.163420604111721</v>
      </c>
      <c r="AA25" s="48">
        <f>(R25*(cAsymp+cDrug)+'Markov Model'!S25*cProg)/((1+cDR)^ncycle)</f>
        <v>226981.15082370958</v>
      </c>
      <c r="AB25" s="44">
        <f t="shared" si="14"/>
        <v>7594.318144669819</v>
      </c>
      <c r="AC25" s="48">
        <f t="shared" si="15"/>
        <v>234575.4689683794</v>
      </c>
    </row>
    <row r="26" spans="1:29" x14ac:dyDescent="0.2">
      <c r="A26">
        <v>21</v>
      </c>
      <c r="B26" s="44">
        <v>9.1200000000000003E-2</v>
      </c>
      <c r="C26" s="55"/>
      <c r="D26" s="48">
        <f t="shared" si="16"/>
        <v>39.740662504379657</v>
      </c>
      <c r="E26" s="48">
        <f t="shared" si="0"/>
        <v>129.21779579393186</v>
      </c>
      <c r="F26" s="48">
        <f t="shared" si="1"/>
        <v>831.04154170168852</v>
      </c>
      <c r="H26" s="48">
        <f t="shared" si="2"/>
        <v>168.95845829831151</v>
      </c>
      <c r="I26" s="48">
        <f t="shared" si="3"/>
        <v>134.66697622460958</v>
      </c>
      <c r="J26" s="48">
        <f t="shared" si="4"/>
        <v>49.700043344149876</v>
      </c>
      <c r="K26" s="48">
        <f t="shared" si="5"/>
        <v>39.613018624801121</v>
      </c>
      <c r="L26" s="44"/>
      <c r="M26" s="48">
        <f>(D26*cAsymp+'Markov Model'!E26*cProg)/((1+cDR)^ncycle)</f>
        <v>119875.30357384079</v>
      </c>
      <c r="N26" s="44">
        <f t="shared" si="6"/>
        <v>7228.5723461974721</v>
      </c>
      <c r="O26" s="48">
        <f t="shared" si="7"/>
        <v>127103.87592003826</v>
      </c>
      <c r="R26" s="48">
        <f t="shared" si="17"/>
        <v>154.30669506212473</v>
      </c>
      <c r="S26" s="48">
        <f t="shared" si="8"/>
        <v>131.4481916158156</v>
      </c>
      <c r="T26" s="48">
        <f t="shared" si="9"/>
        <v>714.24511332205964</v>
      </c>
      <c r="V26" s="48">
        <f t="shared" si="10"/>
        <v>285.75488667794036</v>
      </c>
      <c r="W26" s="48">
        <f t="shared" si="11"/>
        <v>245.17750402088018</v>
      </c>
      <c r="X26" s="48">
        <f t="shared" si="12"/>
        <v>84.05634377073504</v>
      </c>
      <c r="Y26" s="48">
        <f t="shared" si="13"/>
        <v>72.120287433813544</v>
      </c>
      <c r="AA26" s="48">
        <f>(R26*(cAsymp+cDrug)+'Markov Model'!S26*cProg)/((1+cDR)^ncycle)</f>
        <v>184083.809268988</v>
      </c>
      <c r="AB26" s="44">
        <f t="shared" si="14"/>
        <v>6859.7358588136103</v>
      </c>
      <c r="AC26" s="48">
        <f t="shared" si="15"/>
        <v>190943.5451278016</v>
      </c>
    </row>
    <row r="27" spans="1:29" x14ac:dyDescent="0.2">
      <c r="A27">
        <v>22</v>
      </c>
      <c r="B27" s="44">
        <v>9.1200000000000003E-2</v>
      </c>
      <c r="C27" s="55"/>
      <c r="D27" s="48">
        <f t="shared" si="16"/>
        <v>27.373368333016742</v>
      </c>
      <c r="E27" s="48">
        <f t="shared" si="0"/>
        <v>106.79340919939901</v>
      </c>
      <c r="F27" s="48">
        <f t="shared" si="1"/>
        <v>865.83322246758428</v>
      </c>
      <c r="H27" s="48">
        <f t="shared" si="2"/>
        <v>134.16677753241575</v>
      </c>
      <c r="I27" s="48">
        <f t="shared" si="3"/>
        <v>106.09975681591517</v>
      </c>
      <c r="J27" s="48">
        <f t="shared" si="4"/>
        <v>37.231964600997607</v>
      </c>
      <c r="K27" s="48">
        <f t="shared" si="5"/>
        <v>29.443223297139891</v>
      </c>
      <c r="L27" s="44"/>
      <c r="M27" s="48">
        <f>(D27*cAsymp+'Markov Model'!E27*cProg)/((1+cDR)^ncycle)</f>
        <v>92705.270723096794</v>
      </c>
      <c r="N27" s="44">
        <f t="shared" si="6"/>
        <v>5701.5169141059514</v>
      </c>
      <c r="O27" s="48">
        <f t="shared" si="7"/>
        <v>98406.787637202739</v>
      </c>
      <c r="R27" s="48">
        <f t="shared" si="17"/>
        <v>123.26018801562532</v>
      </c>
      <c r="S27" s="48">
        <f t="shared" si="8"/>
        <v>116.71662425491459</v>
      </c>
      <c r="T27" s="48">
        <f t="shared" si="9"/>
        <v>760.02318772946012</v>
      </c>
      <c r="V27" s="48">
        <f t="shared" si="10"/>
        <v>239.97681227053991</v>
      </c>
      <c r="W27" s="48">
        <f t="shared" si="11"/>
        <v>204.63464680602999</v>
      </c>
      <c r="X27" s="48">
        <f t="shared" si="12"/>
        <v>66.594788544863647</v>
      </c>
      <c r="Y27" s="48">
        <f t="shared" si="13"/>
        <v>56.787157492688223</v>
      </c>
      <c r="AA27" s="48">
        <f>(R27*(cAsymp+cDrug)+'Markov Model'!S27*cProg)/((1+cDR)^ncycle)</f>
        <v>148476.37000428728</v>
      </c>
      <c r="AB27" s="44">
        <f t="shared" si="14"/>
        <v>5799.929361288544</v>
      </c>
      <c r="AC27" s="48">
        <f t="shared" si="15"/>
        <v>154276.29936557583</v>
      </c>
    </row>
    <row r="28" spans="1:29" x14ac:dyDescent="0.2">
      <c r="A28">
        <v>23</v>
      </c>
      <c r="B28" s="44">
        <v>9.1200000000000003E-2</v>
      </c>
      <c r="C28" s="55"/>
      <c r="D28" s="48">
        <f t="shared" si="16"/>
        <v>18.581042424451766</v>
      </c>
      <c r="E28" s="48">
        <f t="shared" si="0"/>
        <v>87.330713617097814</v>
      </c>
      <c r="F28" s="48">
        <f t="shared" si="1"/>
        <v>894.08824395845045</v>
      </c>
      <c r="H28" s="48">
        <f t="shared" si="2"/>
        <v>105.91175604154958</v>
      </c>
      <c r="I28" s="48">
        <f t="shared" si="3"/>
        <v>83.150025516052551</v>
      </c>
      <c r="J28" s="48">
        <f t="shared" si="4"/>
        <v>27.727407664179946</v>
      </c>
      <c r="K28" s="48">
        <f t="shared" si="5"/>
        <v>21.768448951654467</v>
      </c>
      <c r="L28" s="44"/>
      <c r="M28" s="48">
        <f>(D28*cAsymp+'Markov Model'!E28*cProg)/((1+cDR)^ncycle)</f>
        <v>71021.057948546033</v>
      </c>
      <c r="N28" s="44">
        <f t="shared" si="6"/>
        <v>4445.3573053558794</v>
      </c>
      <c r="O28" s="48">
        <f t="shared" si="7"/>
        <v>75466.415253901912</v>
      </c>
      <c r="R28" s="48">
        <f t="shared" si="17"/>
        <v>97.843937246803421</v>
      </c>
      <c r="S28" s="48">
        <f t="shared" si="8"/>
        <v>102.73949610642609</v>
      </c>
      <c r="T28" s="48">
        <f t="shared" si="9"/>
        <v>799.41656664677055</v>
      </c>
      <c r="V28" s="48">
        <f t="shared" si="10"/>
        <v>200.58343335322951</v>
      </c>
      <c r="W28" s="48">
        <f t="shared" si="11"/>
        <v>170.0063624642828</v>
      </c>
      <c r="X28" s="48">
        <f t="shared" si="12"/>
        <v>52.512193500823493</v>
      </c>
      <c r="Y28" s="48">
        <f t="shared" si="13"/>
        <v>44.507200085533974</v>
      </c>
      <c r="AA28" s="48">
        <f>(R28*(cAsymp+cDrug)+'Markov Model'!S28*cProg)/((1+cDR)^ncycle)</f>
        <v>119113.6683030978</v>
      </c>
      <c r="AB28" s="44">
        <f t="shared" si="14"/>
        <v>4858.418718699184</v>
      </c>
      <c r="AC28" s="48">
        <f t="shared" si="15"/>
        <v>123972.08702179699</v>
      </c>
    </row>
    <row r="29" spans="1:29" x14ac:dyDescent="0.2">
      <c r="A29">
        <v>24</v>
      </c>
      <c r="B29" s="44">
        <v>9.1200000000000003E-2</v>
      </c>
      <c r="C29" s="55"/>
      <c r="D29" s="48">
        <f t="shared" si="16"/>
        <v>12.427001173473286</v>
      </c>
      <c r="E29" s="48">
        <f t="shared" si="0"/>
        <v>70.725995674522238</v>
      </c>
      <c r="F29" s="48">
        <f t="shared" si="1"/>
        <v>916.8470031520045</v>
      </c>
      <c r="H29" s="48">
        <f t="shared" si="2"/>
        <v>83.152996847995524</v>
      </c>
      <c r="I29" s="48">
        <f t="shared" si="3"/>
        <v>64.850147870691302</v>
      </c>
      <c r="J29" s="48">
        <f t="shared" si="4"/>
        <v>20.537006451150337</v>
      </c>
      <c r="K29" s="48">
        <f t="shared" si="5"/>
        <v>16.016595380356943</v>
      </c>
      <c r="L29" s="44"/>
      <c r="M29" s="48">
        <f>(D29*cAsymp+'Markov Model'!E29*cProg)/((1+cDR)^ncycle)</f>
        <v>53938.012578523638</v>
      </c>
      <c r="N29" s="44">
        <f t="shared" si="6"/>
        <v>3429.4412469873637</v>
      </c>
      <c r="O29" s="48">
        <f t="shared" si="7"/>
        <v>57367.453825511002</v>
      </c>
      <c r="R29" s="48">
        <f t="shared" si="17"/>
        <v>77.179297700278426</v>
      </c>
      <c r="S29" s="48">
        <f t="shared" si="8"/>
        <v>89.700002115172509</v>
      </c>
      <c r="T29" s="48">
        <f t="shared" si="9"/>
        <v>833.12070018454904</v>
      </c>
      <c r="V29" s="48">
        <f t="shared" si="10"/>
        <v>166.87929981545093</v>
      </c>
      <c r="W29" s="48">
        <f t="shared" si="11"/>
        <v>140.59533440164387</v>
      </c>
      <c r="X29" s="48">
        <f t="shared" si="12"/>
        <v>41.215607215435945</v>
      </c>
      <c r="Y29" s="48">
        <f t="shared" si="13"/>
        <v>34.724031593069427</v>
      </c>
      <c r="AA29" s="48">
        <f>(R29*(cAsymp+cDrug)+'Markov Model'!S29*cProg)/((1+cDR)^ncycle)</f>
        <v>95054.375285114322</v>
      </c>
      <c r="AB29" s="44">
        <f t="shared" si="14"/>
        <v>4034.5378051862554</v>
      </c>
      <c r="AC29" s="48">
        <f t="shared" si="15"/>
        <v>99088.913090300572</v>
      </c>
    </row>
    <row r="30" spans="1:29" x14ac:dyDescent="0.2">
      <c r="A30">
        <v>25</v>
      </c>
      <c r="B30" s="44">
        <v>9.1200000000000003E-2</v>
      </c>
      <c r="C30" s="55"/>
      <c r="D30" s="48">
        <f t="shared" si="16"/>
        <v>8.1869083730840657</v>
      </c>
      <c r="E30" s="48">
        <f t="shared" si="0"/>
        <v>56.773635811195788</v>
      </c>
      <c r="F30" s="48">
        <f t="shared" si="1"/>
        <v>935.03945581572009</v>
      </c>
      <c r="H30" s="48">
        <f t="shared" si="2"/>
        <v>64.960544184279854</v>
      </c>
      <c r="I30" s="48">
        <f t="shared" si="3"/>
        <v>50.357789812826702</v>
      </c>
      <c r="J30" s="48">
        <f t="shared" si="4"/>
        <v>15.135717831724984</v>
      </c>
      <c r="K30" s="48">
        <f t="shared" si="5"/>
        <v>11.733296061591629</v>
      </c>
      <c r="L30" s="44"/>
      <c r="M30" s="48">
        <f>(D30*cAsymp+'Markov Model'!E30*cProg)/((1+cDR)^ncycle)</f>
        <v>40638.307397701305</v>
      </c>
      <c r="N30" s="44">
        <f t="shared" si="6"/>
        <v>2620.170561176908</v>
      </c>
      <c r="O30" s="48">
        <f t="shared" si="7"/>
        <v>43258.477958878211</v>
      </c>
      <c r="R30" s="48">
        <f t="shared" si="17"/>
        <v>60.493133537478229</v>
      </c>
      <c r="S30" s="48">
        <f t="shared" si="8"/>
        <v>77.7117738175277</v>
      </c>
      <c r="T30" s="48">
        <f t="shared" si="9"/>
        <v>861.79509264499404</v>
      </c>
      <c r="V30" s="48">
        <f t="shared" si="10"/>
        <v>138.20490735500593</v>
      </c>
      <c r="W30" s="48">
        <f t="shared" si="11"/>
        <v>115.75230722375008</v>
      </c>
      <c r="X30" s="48">
        <f t="shared" si="12"/>
        <v>32.201554142634102</v>
      </c>
      <c r="Y30" s="48">
        <f t="shared" si="13"/>
        <v>26.970129060799909</v>
      </c>
      <c r="AA30" s="48">
        <f>(R30*(cAsymp+cDrug)+'Markov Model'!S30*cProg)/((1+cDR)^ncycle)</f>
        <v>75462.436524219782</v>
      </c>
      <c r="AB30" s="44">
        <f t="shared" si="14"/>
        <v>3323.0964461960407</v>
      </c>
      <c r="AC30" s="48">
        <f t="shared" si="15"/>
        <v>78785.532970415821</v>
      </c>
    </row>
    <row r="31" spans="1:29" x14ac:dyDescent="0.2">
      <c r="A31">
        <v>26</v>
      </c>
      <c r="B31" s="44">
        <v>9.1200000000000003E-2</v>
      </c>
      <c r="C31" s="55"/>
      <c r="D31" s="48">
        <f t="shared" si="16"/>
        <v>5.3116661524569508</v>
      </c>
      <c r="E31" s="48">
        <f t="shared" si="0"/>
        <v>45.20843103053722</v>
      </c>
      <c r="F31" s="48">
        <f t="shared" si="1"/>
        <v>949.47990281700584</v>
      </c>
      <c r="H31" s="48">
        <f t="shared" si="2"/>
        <v>50.520097182994171</v>
      </c>
      <c r="I31" s="48">
        <f t="shared" si="3"/>
        <v>38.95240611773702</v>
      </c>
      <c r="J31" s="48">
        <f t="shared" si="4"/>
        <v>11.104824015623903</v>
      </c>
      <c r="K31" s="48">
        <f t="shared" si="5"/>
        <v>8.5621295096832792</v>
      </c>
      <c r="L31" s="44"/>
      <c r="M31" s="48">
        <f>(D31*cAsymp+'Markov Model'!E31*cProg)/((1+cDR)^ncycle)</f>
        <v>30395.578322304813</v>
      </c>
      <c r="N31" s="44">
        <f t="shared" si="6"/>
        <v>1984.2269089103286</v>
      </c>
      <c r="O31" s="48">
        <f t="shared" si="7"/>
        <v>32379.805231215141</v>
      </c>
      <c r="R31" s="48">
        <f t="shared" si="17"/>
        <v>47.112052398988112</v>
      </c>
      <c r="S31" s="48">
        <f t="shared" si="8"/>
        <v>66.831801332612187</v>
      </c>
      <c r="T31" s="48">
        <f t="shared" si="9"/>
        <v>886.05614626839974</v>
      </c>
      <c r="V31" s="48">
        <f t="shared" si="10"/>
        <v>113.9438537316003</v>
      </c>
      <c r="W31" s="48">
        <f t="shared" si="11"/>
        <v>94.88030077849784</v>
      </c>
      <c r="X31" s="48">
        <f t="shared" si="12"/>
        <v>25.046001767734928</v>
      </c>
      <c r="Y31" s="48">
        <f t="shared" si="13"/>
        <v>20.855641644516663</v>
      </c>
      <c r="AA31" s="48">
        <f>(R31*(cAsymp+cDrug)+'Markov Model'!S31*cProg)/((1+cDR)^ncycle)</f>
        <v>59604.452912838766</v>
      </c>
      <c r="AB31" s="44">
        <f t="shared" si="14"/>
        <v>2716.0105310268632</v>
      </c>
      <c r="AC31" s="48">
        <f t="shared" si="15"/>
        <v>62320.463443865629</v>
      </c>
    </row>
    <row r="32" spans="1:29" x14ac:dyDescent="0.2">
      <c r="A32">
        <v>27</v>
      </c>
      <c r="B32" s="44">
        <v>9.1200000000000003E-2</v>
      </c>
      <c r="C32" s="55"/>
      <c r="D32" s="48">
        <f t="shared" si="16"/>
        <v>3.39309233818949</v>
      </c>
      <c r="E32" s="48">
        <f t="shared" si="0"/>
        <v>35.738307327135018</v>
      </c>
      <c r="F32" s="48">
        <f t="shared" si="1"/>
        <v>960.86860033467553</v>
      </c>
      <c r="H32" s="48">
        <f t="shared" si="2"/>
        <v>39.131399665324508</v>
      </c>
      <c r="I32" s="48">
        <f t="shared" si="3"/>
        <v>30.027168216631278</v>
      </c>
      <c r="J32" s="48">
        <f t="shared" si="4"/>
        <v>8.1145981948390826</v>
      </c>
      <c r="K32" s="48">
        <f t="shared" si="5"/>
        <v>6.2266723677333369</v>
      </c>
      <c r="L32" s="44"/>
      <c r="M32" s="48">
        <f>(D32*cAsymp+'Markov Model'!E32*cProg)/((1+cDR)^ncycle)</f>
        <v>22584.748064466941</v>
      </c>
      <c r="N32" s="44">
        <f t="shared" si="6"/>
        <v>1490.5899788695717</v>
      </c>
      <c r="O32" s="48">
        <f t="shared" si="7"/>
        <v>24075.338043336513</v>
      </c>
      <c r="R32" s="48">
        <f t="shared" si="17"/>
        <v>36.455306146336966</v>
      </c>
      <c r="S32" s="48">
        <f t="shared" si="8"/>
        <v>57.072097925049519</v>
      </c>
      <c r="T32" s="48">
        <f t="shared" si="9"/>
        <v>906.47259592861349</v>
      </c>
      <c r="V32" s="48">
        <f t="shared" si="10"/>
        <v>93.527404071386485</v>
      </c>
      <c r="W32" s="48">
        <f t="shared" si="11"/>
        <v>77.436614282807255</v>
      </c>
      <c r="X32" s="48">
        <f t="shared" si="12"/>
        <v>19.394586207918728</v>
      </c>
      <c r="Y32" s="48">
        <f t="shared" si="13"/>
        <v>16.057872088601336</v>
      </c>
      <c r="AA32" s="48">
        <f>(R32*(cAsymp+cDrug)+'Markov Model'!S32*cProg)/((1+cDR)^ncycle)</f>
        <v>46844.265378789009</v>
      </c>
      <c r="AB32" s="44">
        <f t="shared" si="14"/>
        <v>2203.5450261236379</v>
      </c>
      <c r="AC32" s="48">
        <f t="shared" si="15"/>
        <v>49047.810404912649</v>
      </c>
    </row>
    <row r="33" spans="1:29" x14ac:dyDescent="0.2">
      <c r="A33">
        <v>28</v>
      </c>
      <c r="B33" s="44">
        <v>9.1200000000000003E-2</v>
      </c>
      <c r="C33" s="55"/>
      <c r="D33" s="48">
        <f t="shared" si="16"/>
        <v>2.1335764622534725</v>
      </c>
      <c r="E33" s="48">
        <f t="shared" si="0"/>
        <v>28.068293454523108</v>
      </c>
      <c r="F33" s="48">
        <f t="shared" si="1"/>
        <v>969.79813008322344</v>
      </c>
      <c r="H33" s="48">
        <f t="shared" si="2"/>
        <v>30.20186991677658</v>
      </c>
      <c r="I33" s="48">
        <f t="shared" si="3"/>
        <v>23.078117730033128</v>
      </c>
      <c r="J33" s="48">
        <f t="shared" si="4"/>
        <v>5.9083961334404691</v>
      </c>
      <c r="K33" s="48">
        <f t="shared" si="5"/>
        <v>4.5147754738016799</v>
      </c>
      <c r="L33" s="44"/>
      <c r="M33" s="48">
        <f>(D33*cAsymp+'Markov Model'!E33*cProg)/((1+cDR)^ncycle)</f>
        <v>16681.70872880481</v>
      </c>
      <c r="N33" s="44">
        <f t="shared" si="6"/>
        <v>1111.6469380228436</v>
      </c>
      <c r="O33" s="48">
        <f t="shared" si="7"/>
        <v>17793.355666827654</v>
      </c>
      <c r="R33" s="48">
        <f t="shared" si="17"/>
        <v>28.026839365303886</v>
      </c>
      <c r="S33" s="48">
        <f t="shared" si="8"/>
        <v>48.410050766014741</v>
      </c>
      <c r="T33" s="48">
        <f t="shared" si="9"/>
        <v>923.56310986868141</v>
      </c>
      <c r="V33" s="48">
        <f t="shared" si="10"/>
        <v>76.43689013131862</v>
      </c>
      <c r="W33" s="48">
        <f t="shared" si="11"/>
        <v>62.933035471549744</v>
      </c>
      <c r="X33" s="48">
        <f t="shared" si="12"/>
        <v>14.953359753835331</v>
      </c>
      <c r="Y33" s="48">
        <f t="shared" si="13"/>
        <v>12.31159873446213</v>
      </c>
      <c r="AA33" s="48">
        <f>(R33*(cAsymp+cDrug)+'Markov Model'!S33*cProg)/((1+cDR)^ncycle)</f>
        <v>36635.737368363756</v>
      </c>
      <c r="AB33" s="44">
        <f t="shared" si="14"/>
        <v>1775.2386066910915</v>
      </c>
      <c r="AC33" s="48">
        <f t="shared" si="15"/>
        <v>38410.975975054847</v>
      </c>
    </row>
    <row r="34" spans="1:29" x14ac:dyDescent="0.2">
      <c r="A34">
        <v>29</v>
      </c>
      <c r="B34" s="44">
        <v>9.1200000000000003E-2</v>
      </c>
      <c r="C34" s="55"/>
      <c r="D34" s="48">
        <f t="shared" si="16"/>
        <v>1.320257114842434</v>
      </c>
      <c r="E34" s="48">
        <f t="shared" si="0"/>
        <v>21.91695824734564</v>
      </c>
      <c r="F34" s="48">
        <f t="shared" si="1"/>
        <v>976.76278463781193</v>
      </c>
      <c r="H34" s="48">
        <f t="shared" si="2"/>
        <v>23.237215362188074</v>
      </c>
      <c r="I34" s="48">
        <f t="shared" si="3"/>
        <v>17.691962944609543</v>
      </c>
      <c r="J34" s="48">
        <f t="shared" si="4"/>
        <v>4.2885846852317178</v>
      </c>
      <c r="K34" s="48">
        <f t="shared" si="5"/>
        <v>3.2651709834131819</v>
      </c>
      <c r="L34" s="44"/>
      <c r="M34" s="48">
        <f>(D34*cAsymp+'Markov Model'!E34*cProg)/((1+cDR)^ncycle)</f>
        <v>12256.598187077736</v>
      </c>
      <c r="N34" s="44">
        <f t="shared" si="6"/>
        <v>823.65063972507448</v>
      </c>
      <c r="O34" s="48">
        <f t="shared" si="7"/>
        <v>13080.24882680281</v>
      </c>
      <c r="R34" s="48">
        <f t="shared" si="17"/>
        <v>21.406899907219099</v>
      </c>
      <c r="S34" s="48">
        <f t="shared" si="8"/>
        <v>40.797438229221044</v>
      </c>
      <c r="T34" s="48">
        <f t="shared" si="9"/>
        <v>937.79566186355987</v>
      </c>
      <c r="V34" s="48">
        <f t="shared" si="10"/>
        <v>62.204338136440143</v>
      </c>
      <c r="W34" s="48">
        <f t="shared" si="11"/>
        <v>50.93463358377393</v>
      </c>
      <c r="X34" s="48">
        <f t="shared" si="12"/>
        <v>11.48022978351365</v>
      </c>
      <c r="Y34" s="48">
        <f t="shared" si="13"/>
        <v>9.4003298644254318</v>
      </c>
      <c r="AA34" s="48">
        <f>(R34*(cAsymp+cDrug)+'Markov Model'!S34*cProg)/((1+cDR)^ncycle)</f>
        <v>28514.507899614506</v>
      </c>
      <c r="AB34" s="44">
        <f t="shared" si="14"/>
        <v>1420.5697737610758</v>
      </c>
      <c r="AC34" s="48">
        <f t="shared" si="15"/>
        <v>29935.077673375581</v>
      </c>
    </row>
    <row r="35" spans="1:29" x14ac:dyDescent="0.2">
      <c r="A35">
        <v>30</v>
      </c>
      <c r="B35" s="44">
        <v>9.1200000000000003E-2</v>
      </c>
      <c r="C35" s="55"/>
      <c r="D35" s="48">
        <f t="shared" si="16"/>
        <v>0.8037725315160742</v>
      </c>
      <c r="E35" s="48">
        <f t="shared" si="0"/>
        <v>17.026665052538601</v>
      </c>
      <c r="F35" s="48">
        <f t="shared" si="1"/>
        <v>982.16956241594528</v>
      </c>
      <c r="H35" s="48">
        <f t="shared" si="2"/>
        <v>17.830437584054675</v>
      </c>
      <c r="I35" s="48">
        <f t="shared" si="3"/>
        <v>13.53358269434422</v>
      </c>
      <c r="J35" s="48">
        <f t="shared" si="4"/>
        <v>3.104459821953653</v>
      </c>
      <c r="K35" s="48">
        <f t="shared" si="5"/>
        <v>2.3563338546021666</v>
      </c>
      <c r="L35" s="44"/>
      <c r="M35" s="48">
        <f>(D35*cAsymp+'Markov Model'!E35*cProg)/((1+cDR)^ncycle)</f>
        <v>8963.5171141493702</v>
      </c>
      <c r="N35" s="44">
        <f t="shared" si="6"/>
        <v>606.73835066771255</v>
      </c>
      <c r="O35" s="48">
        <f t="shared" si="7"/>
        <v>9570.2554648170826</v>
      </c>
      <c r="R35" s="48">
        <f t="shared" si="17"/>
        <v>16.243555649597852</v>
      </c>
      <c r="S35" s="48">
        <f t="shared" si="8"/>
        <v>34.168131114415786</v>
      </c>
      <c r="T35" s="48">
        <f t="shared" si="9"/>
        <v>949.58831323598633</v>
      </c>
      <c r="V35" s="48">
        <f t="shared" si="10"/>
        <v>50.411686764013638</v>
      </c>
      <c r="W35" s="48">
        <f t="shared" si="11"/>
        <v>41.057476202929799</v>
      </c>
      <c r="X35" s="48">
        <f t="shared" si="12"/>
        <v>8.7771853819083034</v>
      </c>
      <c r="Y35" s="48">
        <f t="shared" si="13"/>
        <v>7.1485225565523587</v>
      </c>
      <c r="AA35" s="48">
        <f>(R35*(cAsymp+cDrug)+'Markov Model'!S35*cProg)/((1+cDR)^ncycle)</f>
        <v>22089.304744816429</v>
      </c>
      <c r="AB35" s="44">
        <f t="shared" si="14"/>
        <v>1129.4163224344024</v>
      </c>
      <c r="AC35" s="48">
        <f t="shared" si="15"/>
        <v>23218.72106725083</v>
      </c>
    </row>
    <row r="36" spans="1:29" x14ac:dyDescent="0.2">
      <c r="A36">
        <v>31</v>
      </c>
      <c r="B36" s="44">
        <v>0.1958</v>
      </c>
      <c r="C36" s="55"/>
      <c r="D36" s="48">
        <f t="shared" si="16"/>
        <v>0.39722438507533298</v>
      </c>
      <c r="E36" s="48">
        <f t="shared" si="0"/>
        <v>11.388013762140735</v>
      </c>
      <c r="F36" s="48">
        <f t="shared" si="1"/>
        <v>988.21476185278391</v>
      </c>
      <c r="H36" s="48">
        <f t="shared" si="2"/>
        <v>11.785238147216068</v>
      </c>
      <c r="I36" s="48">
        <f t="shared" si="3"/>
        <v>8.9183734874271181</v>
      </c>
      <c r="J36" s="48">
        <f t="shared" si="4"/>
        <v>1.9357824119101794</v>
      </c>
      <c r="K36" s="48">
        <f t="shared" si="5"/>
        <v>1.4648860145338349</v>
      </c>
      <c r="L36" s="44"/>
      <c r="M36" s="48">
        <f>(D36*cAsymp+'Markov Model'!E36*cProg)/((1+cDR)^ncycle)</f>
        <v>5644.2321657155326</v>
      </c>
      <c r="N36" s="44">
        <f t="shared" si="6"/>
        <v>444.67723219035253</v>
      </c>
      <c r="O36" s="48">
        <f t="shared" si="7"/>
        <v>6088.9093979058853</v>
      </c>
      <c r="R36" s="48">
        <f t="shared" si="17"/>
        <v>10.545316327718979</v>
      </c>
      <c r="S36" s="48">
        <f t="shared" si="8"/>
        <v>24.870542500738473</v>
      </c>
      <c r="T36" s="48">
        <f t="shared" si="9"/>
        <v>964.58414117154257</v>
      </c>
      <c r="V36" s="48">
        <f t="shared" si="10"/>
        <v>35.415858828457452</v>
      </c>
      <c r="W36" s="48">
        <f t="shared" si="11"/>
        <v>28.670957386886883</v>
      </c>
      <c r="X36" s="48">
        <f t="shared" si="12"/>
        <v>5.8172262423917624</v>
      </c>
      <c r="Y36" s="48">
        <f t="shared" si="13"/>
        <v>4.7093435320415953</v>
      </c>
      <c r="AA36" s="48">
        <f>(R36*(cAsymp+cDrug)+'Markov Model'!S36*cProg)/((1+cDR)^ncycle)</f>
        <v>14853.499850316985</v>
      </c>
      <c r="AB36" s="44">
        <f t="shared" si="14"/>
        <v>892.35266719539732</v>
      </c>
      <c r="AC36" s="48">
        <f t="shared" si="15"/>
        <v>15745.852517512381</v>
      </c>
    </row>
    <row r="37" spans="1:29" x14ac:dyDescent="0.2">
      <c r="A37">
        <v>32</v>
      </c>
      <c r="B37" s="44">
        <v>0.1958</v>
      </c>
      <c r="C37" s="55"/>
      <c r="D37" s="48">
        <f t="shared" si="16"/>
        <v>0.1923360472535478</v>
      </c>
      <c r="E37" s="48">
        <f t="shared" si="0"/>
        <v>7.5771504064165764</v>
      </c>
      <c r="F37" s="48">
        <f t="shared" si="1"/>
        <v>992.23051354632992</v>
      </c>
      <c r="H37" s="48">
        <f t="shared" si="2"/>
        <v>7.7694864536701242</v>
      </c>
      <c r="I37" s="48">
        <f t="shared" si="3"/>
        <v>5.8655820497033027</v>
      </c>
      <c r="J37" s="48">
        <f t="shared" si="4"/>
        <v>1.2039393944080679</v>
      </c>
      <c r="K37" s="48">
        <f t="shared" si="5"/>
        <v>0.90891532444011081</v>
      </c>
      <c r="L37" s="44"/>
      <c r="M37" s="48">
        <f>(D37*cAsymp+'Markov Model'!E37*cProg)/((1+cDR)^ncycle)</f>
        <v>3537.308450298453</v>
      </c>
      <c r="N37" s="44">
        <f t="shared" si="6"/>
        <v>280.5804575856265</v>
      </c>
      <c r="O37" s="48">
        <f t="shared" si="7"/>
        <v>3817.8889078840793</v>
      </c>
      <c r="R37" s="48">
        <f t="shared" si="17"/>
        <v>6.7932927783165269</v>
      </c>
      <c r="S37" s="48">
        <f t="shared" si="8"/>
        <v>17.957559516418147</v>
      </c>
      <c r="T37" s="48">
        <f t="shared" si="9"/>
        <v>975.24914770526527</v>
      </c>
      <c r="V37" s="48">
        <f t="shared" si="10"/>
        <v>24.750852294734674</v>
      </c>
      <c r="W37" s="48">
        <f t="shared" si="11"/>
        <v>19.92179777671431</v>
      </c>
      <c r="X37" s="48">
        <f t="shared" si="12"/>
        <v>3.8353276372250149</v>
      </c>
      <c r="Y37" s="48">
        <f t="shared" si="13"/>
        <v>3.0870299206825482</v>
      </c>
      <c r="AA37" s="48">
        <f>(R37*(cAsymp+cDrug)+'Markov Model'!S37*cProg)/((1+cDR)^ncycle)</f>
        <v>9926.97646594664</v>
      </c>
      <c r="AB37" s="44">
        <f t="shared" si="14"/>
        <v>612.76604867293418</v>
      </c>
      <c r="AC37" s="48">
        <f t="shared" si="15"/>
        <v>10539.742514619575</v>
      </c>
    </row>
    <row r="38" spans="1:29" x14ac:dyDescent="0.2">
      <c r="A38">
        <v>33</v>
      </c>
      <c r="B38" s="44">
        <v>0.1958</v>
      </c>
      <c r="C38" s="55"/>
      <c r="D38" s="48">
        <f t="shared" si="16"/>
        <v>9.1205753607596307E-2</v>
      </c>
      <c r="E38" s="48">
        <f t="shared" si="0"/>
        <v>5.0204426914713949</v>
      </c>
      <c r="F38" s="48">
        <f t="shared" si="1"/>
        <v>994.88835155492097</v>
      </c>
      <c r="H38" s="48">
        <f t="shared" si="2"/>
        <v>5.1116484450789912</v>
      </c>
      <c r="I38" s="48">
        <f t="shared" si="3"/>
        <v>3.8519774845307628</v>
      </c>
      <c r="J38" s="48">
        <f t="shared" si="4"/>
        <v>0.74725258094084657</v>
      </c>
      <c r="K38" s="48">
        <f t="shared" si="5"/>
        <v>0.56310604063796521</v>
      </c>
      <c r="L38" s="44"/>
      <c r="M38" s="48">
        <f>(D38*cAsymp+'Markov Model'!E38*cProg)/((1+cDR)^ncycle)</f>
        <v>2208.4251811684107</v>
      </c>
      <c r="N38" s="44">
        <f t="shared" si="6"/>
        <v>176.12032518566517</v>
      </c>
      <c r="O38" s="48">
        <f t="shared" si="7"/>
        <v>2384.5455063540758</v>
      </c>
      <c r="R38" s="48">
        <f t="shared" si="17"/>
        <v>4.3422727438999118</v>
      </c>
      <c r="S38" s="48">
        <f t="shared" si="8"/>
        <v>12.868728744062979</v>
      </c>
      <c r="T38" s="48">
        <f t="shared" si="9"/>
        <v>982.7889985120371</v>
      </c>
      <c r="V38" s="48">
        <f t="shared" si="10"/>
        <v>17.211001487962889</v>
      </c>
      <c r="W38" s="48">
        <f t="shared" si="11"/>
        <v>13.77670566475215</v>
      </c>
      <c r="X38" s="48">
        <f t="shared" si="12"/>
        <v>2.516011306457965</v>
      </c>
      <c r="Y38" s="48">
        <f t="shared" si="13"/>
        <v>2.0139645704232971</v>
      </c>
      <c r="AA38" s="48">
        <f>(R38*(cAsymp+cDrug)+'Markov Model'!S38*cProg)/((1+cDR)^ncycle)</f>
        <v>6595.8632400252236</v>
      </c>
      <c r="AB38" s="44">
        <f t="shared" si="14"/>
        <v>417.39850101091179</v>
      </c>
      <c r="AC38" s="48">
        <f t="shared" si="15"/>
        <v>7013.2617410361354</v>
      </c>
    </row>
    <row r="39" spans="1:29" x14ac:dyDescent="0.2">
      <c r="A39">
        <v>34</v>
      </c>
      <c r="B39" s="44">
        <v>0.1958</v>
      </c>
      <c r="C39" s="55"/>
      <c r="D39" s="48">
        <f t="shared" si="16"/>
        <v>4.2337710824654096E-2</v>
      </c>
      <c r="E39" s="48">
        <f t="shared" si="0"/>
        <v>3.3153835649871692</v>
      </c>
      <c r="F39" s="48">
        <f t="shared" si="1"/>
        <v>996.64227872418815</v>
      </c>
      <c r="H39" s="48">
        <f t="shared" si="2"/>
        <v>3.3577212758118233</v>
      </c>
      <c r="I39" s="48">
        <f t="shared" si="3"/>
        <v>2.5267584990237983</v>
      </c>
      <c r="J39" s="48">
        <f t="shared" si="4"/>
        <v>0.46306848316108551</v>
      </c>
      <c r="K39" s="48">
        <f t="shared" si="5"/>
        <v>0.34846913407797259</v>
      </c>
      <c r="L39" s="44"/>
      <c r="M39" s="48">
        <f>(D39*cAsymp+'Markov Model'!E39*cProg)/((1+cDR)^ncycle)</f>
        <v>1374.6083031437756</v>
      </c>
      <c r="N39" s="44">
        <f t="shared" si="6"/>
        <v>110.08793344187923</v>
      </c>
      <c r="O39" s="48">
        <f t="shared" si="7"/>
        <v>1484.6962365856548</v>
      </c>
      <c r="R39" s="48">
        <f t="shared" si="17"/>
        <v>2.7538693741813631</v>
      </c>
      <c r="S39" s="48">
        <f t="shared" si="8"/>
        <v>9.1569087108289864</v>
      </c>
      <c r="T39" s="48">
        <f t="shared" si="9"/>
        <v>988.08922191498971</v>
      </c>
      <c r="V39" s="48">
        <f t="shared" si="10"/>
        <v>11.91077808501035</v>
      </c>
      <c r="W39" s="48">
        <f t="shared" si="11"/>
        <v>9.4838574385940344</v>
      </c>
      <c r="X39" s="48">
        <f t="shared" si="12"/>
        <v>1.6426336458676167</v>
      </c>
      <c r="Y39" s="48">
        <f t="shared" si="13"/>
        <v>1.3079333029344153</v>
      </c>
      <c r="AA39" s="48">
        <f>(R39*(cAsymp+cDrug)+'Markov Model'!S39*cProg)/((1+cDR)^ncycle)</f>
        <v>4358.2154236000797</v>
      </c>
      <c r="AB39" s="44">
        <f t="shared" si="14"/>
        <v>282.18462803382749</v>
      </c>
      <c r="AC39" s="48">
        <f t="shared" si="15"/>
        <v>4640.4000516339074</v>
      </c>
    </row>
    <row r="40" spans="1:29" x14ac:dyDescent="0.2">
      <c r="A40">
        <v>35</v>
      </c>
      <c r="B40" s="44">
        <v>0.1958</v>
      </c>
      <c r="C40" s="55"/>
      <c r="D40" s="48">
        <f t="shared" si="16"/>
        <v>1.9229788256552638E-2</v>
      </c>
      <c r="E40" s="48">
        <f t="shared" si="0"/>
        <v>2.1837421270032351</v>
      </c>
      <c r="F40" s="48">
        <f t="shared" si="1"/>
        <v>997.79702808474019</v>
      </c>
      <c r="H40" s="48">
        <f t="shared" si="2"/>
        <v>2.2029719152597877</v>
      </c>
      <c r="I40" s="48">
        <f t="shared" si="3"/>
        <v>1.6560748940961514</v>
      </c>
      <c r="J40" s="48">
        <f t="shared" si="4"/>
        <v>0.28661814194750018</v>
      </c>
      <c r="K40" s="48">
        <f t="shared" si="5"/>
        <v>0.21546398562042821</v>
      </c>
      <c r="L40" s="44"/>
      <c r="M40" s="48">
        <f>(D40*cAsymp+'Markov Model'!E40*cProg)/((1+cDR)^ncycle)</f>
        <v>853.59968634496261</v>
      </c>
      <c r="N40" s="44">
        <f t="shared" si="6"/>
        <v>68.584443693793986</v>
      </c>
      <c r="O40" s="48">
        <f t="shared" si="7"/>
        <v>922.18413003875662</v>
      </c>
      <c r="R40" s="48">
        <f t="shared" si="17"/>
        <v>1.7327346102348429</v>
      </c>
      <c r="S40" s="48">
        <f t="shared" si="8"/>
        <v>6.4723768191060618</v>
      </c>
      <c r="T40" s="48">
        <f t="shared" si="9"/>
        <v>991.79488857065905</v>
      </c>
      <c r="V40" s="48">
        <f t="shared" si="10"/>
        <v>8.2051114293409046</v>
      </c>
      <c r="W40" s="48">
        <f t="shared" si="11"/>
        <v>6.5003804940526475</v>
      </c>
      <c r="X40" s="48">
        <f t="shared" si="12"/>
        <v>1.0675278137045869</v>
      </c>
      <c r="Y40" s="48">
        <f t="shared" si="13"/>
        <v>0.84573342322316081</v>
      </c>
      <c r="AA40" s="48">
        <f>(R40*(cAsymp+cDrug)+'Markov Model'!S40*cProg)/((1+cDR)^ncycle)</f>
        <v>2864.4267190283563</v>
      </c>
      <c r="AB40" s="44">
        <f t="shared" si="14"/>
        <v>189.42649547986548</v>
      </c>
      <c r="AC40" s="48">
        <f t="shared" si="15"/>
        <v>3053.8532145082218</v>
      </c>
    </row>
    <row r="41" spans="1:29" x14ac:dyDescent="0.2">
      <c r="A41">
        <v>36</v>
      </c>
      <c r="B41" s="44">
        <v>0.1958</v>
      </c>
      <c r="C41" s="55"/>
      <c r="D41" s="48">
        <f t="shared" si="16"/>
        <v>8.5418719436347601E-3</v>
      </c>
      <c r="E41" s="48">
        <f t="shared" si="0"/>
        <v>1.4355268232578755</v>
      </c>
      <c r="F41" s="48">
        <f t="shared" si="1"/>
        <v>998.55593130479849</v>
      </c>
      <c r="H41" s="48">
        <f t="shared" si="2"/>
        <v>1.4440686952015103</v>
      </c>
      <c r="I41" s="48">
        <f t="shared" si="3"/>
        <v>1.0847598957898597</v>
      </c>
      <c r="J41" s="48">
        <f t="shared" si="4"/>
        <v>0.1772461064452043</v>
      </c>
      <c r="K41" s="48">
        <f t="shared" si="5"/>
        <v>0.1331442670252112</v>
      </c>
      <c r="L41" s="44"/>
      <c r="M41" s="48">
        <f>(D41*cAsymp+'Markov Model'!E41*cProg)/((1+cDR)^ncycle)</f>
        <v>529.11722944426344</v>
      </c>
      <c r="N41" s="44">
        <f t="shared" si="6"/>
        <v>42.617436922272745</v>
      </c>
      <c r="O41" s="48">
        <f t="shared" si="7"/>
        <v>571.7346663665362</v>
      </c>
      <c r="R41" s="48">
        <f t="shared" si="17"/>
        <v>1.0815729437085793</v>
      </c>
      <c r="S41" s="48">
        <f t="shared" si="8"/>
        <v>4.5461211449014574</v>
      </c>
      <c r="T41" s="48">
        <f t="shared" si="9"/>
        <v>994.37230591138996</v>
      </c>
      <c r="V41" s="48">
        <f t="shared" si="10"/>
        <v>5.6276940886100366</v>
      </c>
      <c r="W41" s="48">
        <f t="shared" si="11"/>
        <v>4.4370851551992434</v>
      </c>
      <c r="X41" s="48">
        <f t="shared" si="12"/>
        <v>0.69074751691894332</v>
      </c>
      <c r="Y41" s="48">
        <f t="shared" si="13"/>
        <v>0.54461125730250404</v>
      </c>
      <c r="AA41" s="48">
        <f>(R41*(cAsymp+cDrug)+'Markov Model'!S41*cProg)/((1+cDR)^ncycle)</f>
        <v>1873.1129036571058</v>
      </c>
      <c r="AB41" s="44">
        <f t="shared" si="14"/>
        <v>126.31349984714758</v>
      </c>
      <c r="AC41" s="48">
        <f t="shared" si="15"/>
        <v>1999.4264035042534</v>
      </c>
    </row>
    <row r="42" spans="1:29" x14ac:dyDescent="0.2">
      <c r="A42">
        <v>37</v>
      </c>
      <c r="B42" s="44">
        <v>0.1958</v>
      </c>
      <c r="C42" s="55"/>
      <c r="D42" s="48">
        <f t="shared" si="16"/>
        <v>3.7088807978307159E-3</v>
      </c>
      <c r="E42" s="48">
        <f t="shared" si="0"/>
        <v>0.94228214039444702</v>
      </c>
      <c r="F42" s="48">
        <f t="shared" si="1"/>
        <v>999.0540089788077</v>
      </c>
      <c r="H42" s="48">
        <f t="shared" si="2"/>
        <v>0.94599102119227774</v>
      </c>
      <c r="I42" s="48">
        <f t="shared" si="3"/>
        <v>0.71023504205377452</v>
      </c>
      <c r="J42" s="48">
        <f t="shared" si="4"/>
        <v>0.10953930965086972</v>
      </c>
      <c r="K42" s="48">
        <f t="shared" si="5"/>
        <v>8.2240374859344351E-2</v>
      </c>
      <c r="L42" s="44"/>
      <c r="M42" s="48">
        <f>(D42*cAsymp+'Markov Model'!E42*cProg)/((1+cDR)^ncycle)</f>
        <v>327.54427118770855</v>
      </c>
      <c r="N42" s="44">
        <f t="shared" si="6"/>
        <v>26.429650573299675</v>
      </c>
      <c r="O42" s="48">
        <f t="shared" si="7"/>
        <v>353.97392176100823</v>
      </c>
      <c r="R42" s="48">
        <f t="shared" si="17"/>
        <v>0.66970996674433536</v>
      </c>
      <c r="S42" s="48">
        <f t="shared" si="8"/>
        <v>3.1741634475806206</v>
      </c>
      <c r="T42" s="48">
        <f t="shared" si="9"/>
        <v>996.156126585675</v>
      </c>
      <c r="V42" s="48">
        <f t="shared" si="10"/>
        <v>3.843873414324956</v>
      </c>
      <c r="W42" s="48">
        <f t="shared" si="11"/>
        <v>3.016847054092584</v>
      </c>
      <c r="X42" s="48">
        <f t="shared" si="12"/>
        <v>0.44509433045126701</v>
      </c>
      <c r="Y42" s="48">
        <f t="shared" si="13"/>
        <v>0.34933031733331138</v>
      </c>
      <c r="AA42" s="48">
        <f>(R42*(cAsymp+cDrug)+'Markov Model'!S42*cProg)/((1+cDR)^ncycle)</f>
        <v>1218.9612201423424</v>
      </c>
      <c r="AB42" s="44">
        <f t="shared" si="14"/>
        <v>83.699162827869088</v>
      </c>
      <c r="AC42" s="48">
        <f t="shared" si="15"/>
        <v>1302.6603829702115</v>
      </c>
    </row>
    <row r="43" spans="1:29" x14ac:dyDescent="0.2">
      <c r="A43">
        <v>38</v>
      </c>
      <c r="B43" s="44">
        <v>0.1958</v>
      </c>
      <c r="C43" s="55"/>
      <c r="D43" s="48">
        <f t="shared" si="16"/>
        <v>1.5733072344801258E-3</v>
      </c>
      <c r="E43" s="48">
        <f t="shared" si="0"/>
        <v>0.61785035094922292</v>
      </c>
      <c r="F43" s="48">
        <f t="shared" si="1"/>
        <v>999.38057634181632</v>
      </c>
      <c r="H43" s="48">
        <f t="shared" si="2"/>
        <v>0.61942365818370304</v>
      </c>
      <c r="I43" s="48">
        <f t="shared" si="3"/>
        <v>0.46488240508467332</v>
      </c>
      <c r="J43" s="48">
        <f t="shared" si="4"/>
        <v>6.7665128150469503E-2</v>
      </c>
      <c r="K43" s="48">
        <f t="shared" si="5"/>
        <v>5.0783219367484769E-2</v>
      </c>
      <c r="L43" s="44"/>
      <c r="M43" s="48">
        <f>(D43*cAsymp+'Markov Model'!E43*cProg)/((1+cDR)^ncycle)</f>
        <v>202.56571876850043</v>
      </c>
      <c r="N43" s="44">
        <f t="shared" si="6"/>
        <v>16.366476981736422</v>
      </c>
      <c r="O43" s="48">
        <f t="shared" si="7"/>
        <v>218.93219575023684</v>
      </c>
      <c r="R43" s="48">
        <f t="shared" si="17"/>
        <v>0.41133586157445734</v>
      </c>
      <c r="S43" s="48">
        <f t="shared" si="8"/>
        <v>2.2037826210886657</v>
      </c>
      <c r="T43" s="48">
        <f t="shared" si="9"/>
        <v>997.38488151733691</v>
      </c>
      <c r="V43" s="48">
        <f t="shared" si="10"/>
        <v>2.6151184826631231</v>
      </c>
      <c r="W43" s="48">
        <f t="shared" si="11"/>
        <v>2.043606034312234</v>
      </c>
      <c r="X43" s="48">
        <f t="shared" si="12"/>
        <v>0.28567253594563652</v>
      </c>
      <c r="Y43" s="48">
        <f t="shared" si="13"/>
        <v>0.22324117326464787</v>
      </c>
      <c r="AA43" s="48">
        <f>(R43*(cAsymp+cDrug)+'Markov Model'!S43*cProg)/((1+cDR)^ncycle)</f>
        <v>789.61682304625583</v>
      </c>
      <c r="AB43" s="44">
        <f t="shared" si="14"/>
        <v>55.131972446544204</v>
      </c>
      <c r="AC43" s="48">
        <f t="shared" si="15"/>
        <v>844.74879549280001</v>
      </c>
    </row>
    <row r="44" spans="1:29" x14ac:dyDescent="0.2">
      <c r="A44">
        <v>39</v>
      </c>
      <c r="B44" s="44">
        <v>0.1958</v>
      </c>
      <c r="C44" s="55"/>
      <c r="D44" s="48">
        <f t="shared" si="16"/>
        <v>6.5166385650172742E-4</v>
      </c>
      <c r="E44" s="48">
        <f t="shared" si="0"/>
        <v>0.40481128941242889</v>
      </c>
      <c r="F44" s="48">
        <f t="shared" si="1"/>
        <v>999.59453704673103</v>
      </c>
      <c r="H44" s="48">
        <f t="shared" si="2"/>
        <v>0.40546295326893061</v>
      </c>
      <c r="I44" s="48">
        <f t="shared" si="3"/>
        <v>0.30422754772299831</v>
      </c>
      <c r="J44" s="48">
        <f t="shared" si="4"/>
        <v>4.1785195072650418E-2</v>
      </c>
      <c r="K44" s="48">
        <f t="shared" si="5"/>
        <v>3.1352327815873104E-2</v>
      </c>
      <c r="L44" s="44"/>
      <c r="M44" s="48">
        <f>(D44*cAsymp+'Markov Model'!E44*cProg)/((1+cDR)^ncycle)</f>
        <v>125.18769132563516</v>
      </c>
      <c r="N44" s="44">
        <f t="shared" si="6"/>
        <v>10.123989281595941</v>
      </c>
      <c r="O44" s="48">
        <f t="shared" si="7"/>
        <v>135.3116806072311</v>
      </c>
      <c r="R44" s="48">
        <f t="shared" si="17"/>
        <v>0.25058580687118592</v>
      </c>
      <c r="S44" s="48">
        <f t="shared" si="8"/>
        <v>1.5219250837232243</v>
      </c>
      <c r="T44" s="48">
        <f t="shared" si="9"/>
        <v>998.22748910940561</v>
      </c>
      <c r="V44" s="48">
        <f t="shared" si="10"/>
        <v>1.7725108905944102</v>
      </c>
      <c r="W44" s="48">
        <f t="shared" si="11"/>
        <v>1.3795003293200447</v>
      </c>
      <c r="X44" s="48">
        <f t="shared" si="12"/>
        <v>0.18266702971198456</v>
      </c>
      <c r="Y44" s="48">
        <f t="shared" si="13"/>
        <v>0.14216512235876458</v>
      </c>
      <c r="AA44" s="48">
        <f>(R44*(cAsymp+cDrug)+'Markov Model'!S44*cProg)/((1+cDR)^ncycle)</f>
        <v>509.26471357513242</v>
      </c>
      <c r="AB44" s="44">
        <f t="shared" si="14"/>
        <v>36.110801912780119</v>
      </c>
      <c r="AC44" s="48">
        <f t="shared" si="15"/>
        <v>545.37551548791248</v>
      </c>
    </row>
    <row r="45" spans="1:29" x14ac:dyDescent="0.2">
      <c r="A45">
        <v>40</v>
      </c>
      <c r="B45" s="44">
        <v>0.1958</v>
      </c>
      <c r="C45" s="55"/>
      <c r="D45" s="48">
        <f t="shared" si="16"/>
        <v>2.6340253077705711E-4</v>
      </c>
      <c r="E45" s="48">
        <f t="shared" si="0"/>
        <v>0.26508821107621167</v>
      </c>
      <c r="F45" s="48">
        <f t="shared" si="1"/>
        <v>999.73464838639302</v>
      </c>
      <c r="H45" s="48">
        <f t="shared" si="2"/>
        <v>0.26535161360698872</v>
      </c>
      <c r="I45" s="48">
        <f t="shared" si="3"/>
        <v>0.19906639071139698</v>
      </c>
      <c r="J45" s="48">
        <f t="shared" si="4"/>
        <v>2.5798064386853507E-2</v>
      </c>
      <c r="K45" s="48">
        <f t="shared" si="5"/>
        <v>1.9353670004198152E-2</v>
      </c>
      <c r="L45" s="44"/>
      <c r="M45" s="48">
        <f>(D45*cAsymp+'Markov Model'!E45*cProg)/((1+cDR)^ncycle)</f>
        <v>77.330171734835261</v>
      </c>
      <c r="N45" s="44">
        <f t="shared" si="6"/>
        <v>6.2577056273585967</v>
      </c>
      <c r="O45" s="48">
        <f t="shared" si="7"/>
        <v>83.587877362193865</v>
      </c>
      <c r="R45" s="48">
        <f t="shared" si="17"/>
        <v>0.15140394451157135</v>
      </c>
      <c r="S45" s="48">
        <f t="shared" si="8"/>
        <v>1.0457605511459707</v>
      </c>
      <c r="T45" s="48">
        <f t="shared" si="9"/>
        <v>998.80283550434251</v>
      </c>
      <c r="V45" s="48">
        <f t="shared" si="10"/>
        <v>1.197164495657542</v>
      </c>
      <c r="W45" s="48">
        <f t="shared" si="11"/>
        <v>0.92815416064547074</v>
      </c>
      <c r="X45" s="48">
        <f t="shared" si="12"/>
        <v>0.11639095131477598</v>
      </c>
      <c r="Y45" s="48">
        <f t="shared" si="13"/>
        <v>9.0237178028704415E-2</v>
      </c>
      <c r="AA45" s="48">
        <f>(R45*(cAsymp+cDrug)+'Markov Model'!S45*cProg)/((1+cDR)^ncycle)</f>
        <v>327.09311987465975</v>
      </c>
      <c r="AB45" s="44">
        <f t="shared" si="14"/>
        <v>23.526416900715557</v>
      </c>
      <c r="AC45" s="48">
        <f t="shared" si="15"/>
        <v>350.61953677537531</v>
      </c>
    </row>
    <row r="46" spans="1:29" x14ac:dyDescent="0.2">
      <c r="A46">
        <v>41</v>
      </c>
      <c r="B46" s="44">
        <v>0.1958</v>
      </c>
      <c r="C46" s="55"/>
      <c r="D46" s="48">
        <f t="shared" si="16"/>
        <v>1.0383327753515914E-4</v>
      </c>
      <c r="E46" s="48">
        <f t="shared" si="0"/>
        <v>0.17352870272367626</v>
      </c>
      <c r="F46" s="48">
        <f t="shared" si="1"/>
        <v>999.82636746399874</v>
      </c>
      <c r="H46" s="48">
        <f t="shared" si="2"/>
        <v>0.17363253600121142</v>
      </c>
      <c r="I46" s="48">
        <f t="shared" si="3"/>
        <v>0.13024516865641561</v>
      </c>
      <c r="J46" s="48">
        <f t="shared" si="4"/>
        <v>1.5925410384352485E-2</v>
      </c>
      <c r="K46" s="48">
        <f t="shared" si="5"/>
        <v>1.1945962486075481E-2</v>
      </c>
      <c r="L46" s="44"/>
      <c r="M46" s="48">
        <f>(D46*cAsymp+'Markov Model'!E46*cProg)/((1+cDR)^ncycle)</f>
        <v>47.752422430418505</v>
      </c>
      <c r="N46" s="44">
        <f t="shared" si="6"/>
        <v>3.8658683724845102</v>
      </c>
      <c r="O46" s="48">
        <f t="shared" si="7"/>
        <v>51.618290802903019</v>
      </c>
      <c r="R46" s="48">
        <f t="shared" si="17"/>
        <v>9.0721243551229236E-2</v>
      </c>
      <c r="S46" s="48">
        <f t="shared" si="8"/>
        <v>0.71517436118456612</v>
      </c>
      <c r="T46" s="48">
        <f t="shared" si="9"/>
        <v>999.19410439526416</v>
      </c>
      <c r="V46" s="48">
        <f t="shared" si="10"/>
        <v>0.80589560473579536</v>
      </c>
      <c r="W46" s="48">
        <f t="shared" si="11"/>
        <v>0.62256595226209244</v>
      </c>
      <c r="X46" s="48">
        <f t="shared" si="12"/>
        <v>7.3915975242531254E-2</v>
      </c>
      <c r="Y46" s="48">
        <f t="shared" si="13"/>
        <v>5.7101154595990272E-2</v>
      </c>
      <c r="AA46" s="48">
        <f>(R46*(cAsymp+cDrug)+'Markov Model'!S46*cProg)/((1+cDR)^ncycle)</f>
        <v>209.26662699690507</v>
      </c>
      <c r="AB46" s="44">
        <f t="shared" si="14"/>
        <v>15.25066929024957</v>
      </c>
      <c r="AC46" s="48">
        <f t="shared" si="15"/>
        <v>224.51729628715464</v>
      </c>
    </row>
    <row r="47" spans="1:29" x14ac:dyDescent="0.2">
      <c r="A47">
        <v>42</v>
      </c>
      <c r="B47" s="44">
        <v>0.1958</v>
      </c>
      <c r="C47" s="55"/>
      <c r="D47" s="48">
        <f t="shared" si="16"/>
        <v>3.9892745235192706E-5</v>
      </c>
      <c r="E47" s="48">
        <f t="shared" si="0"/>
        <v>0.11356608729839379</v>
      </c>
      <c r="F47" s="48">
        <f t="shared" si="1"/>
        <v>999.88639401995636</v>
      </c>
      <c r="H47" s="48">
        <f t="shared" si="2"/>
        <v>0.11360598004362898</v>
      </c>
      <c r="I47" s="48">
        <f t="shared" si="3"/>
        <v>8.5212463581768774E-2</v>
      </c>
      <c r="J47" s="48">
        <f t="shared" si="4"/>
        <v>9.8300301856625461E-3</v>
      </c>
      <c r="K47" s="48">
        <f t="shared" si="5"/>
        <v>7.3732130023593098E-3</v>
      </c>
      <c r="L47" s="44"/>
      <c r="M47" s="48">
        <f>(D47*cAsymp+'Markov Model'!E47*cProg)/((1+cDR)^ncycle)</f>
        <v>29.481461018082637</v>
      </c>
      <c r="N47" s="44">
        <f t="shared" si="6"/>
        <v>2.3873830342945359</v>
      </c>
      <c r="O47" s="48">
        <f t="shared" si="7"/>
        <v>31.868844052377174</v>
      </c>
      <c r="R47" s="48">
        <f t="shared" si="17"/>
        <v>5.3906562918200507E-2</v>
      </c>
      <c r="S47" s="48">
        <f t="shared" si="8"/>
        <v>0.48691852823270126</v>
      </c>
      <c r="T47" s="48">
        <f t="shared" si="9"/>
        <v>999.45917490884915</v>
      </c>
      <c r="V47" s="48">
        <f t="shared" si="10"/>
        <v>0.54082509115090183</v>
      </c>
      <c r="W47" s="48">
        <f t="shared" si="11"/>
        <v>0.41640013094681638</v>
      </c>
      <c r="X47" s="48">
        <f t="shared" si="12"/>
        <v>4.679618950635691E-2</v>
      </c>
      <c r="Y47" s="48">
        <f t="shared" si="13"/>
        <v>3.603002108647E-2</v>
      </c>
      <c r="AA47" s="48">
        <f>(R47*(cAsymp+cDrug)+'Markov Model'!S47*cProg)/((1+cDR)^ncycle)</f>
        <v>133.39197634380329</v>
      </c>
      <c r="AB47" s="44">
        <f t="shared" si="14"/>
        <v>9.8392664133108205</v>
      </c>
      <c r="AC47" s="48">
        <f t="shared" si="15"/>
        <v>143.2312427571141</v>
      </c>
    </row>
    <row r="48" spans="1:29" x14ac:dyDescent="0.2">
      <c r="A48">
        <v>43</v>
      </c>
      <c r="B48" s="44">
        <v>0.1958</v>
      </c>
      <c r="C48" s="55"/>
      <c r="D48" s="48">
        <f t="shared" si="16"/>
        <v>1.4927865208846924E-5</v>
      </c>
      <c r="E48" s="48">
        <f t="shared" si="0"/>
        <v>7.431208819106036E-2</v>
      </c>
      <c r="F48" s="48">
        <f t="shared" si="1"/>
        <v>999.92567298394374</v>
      </c>
      <c r="H48" s="48">
        <f t="shared" si="2"/>
        <v>7.4327016056269207E-2</v>
      </c>
      <c r="I48" s="48">
        <f t="shared" si="3"/>
        <v>5.5748247615243676E-2</v>
      </c>
      <c r="J48" s="48">
        <f t="shared" si="4"/>
        <v>6.0672863394242499E-3</v>
      </c>
      <c r="K48" s="48">
        <f t="shared" si="5"/>
        <v>4.5507084657716345E-3</v>
      </c>
      <c r="L48" s="44"/>
      <c r="M48" s="48">
        <f>(D48*cAsymp+'Markov Model'!E48*cProg)/((1+cDR)^ncycle)</f>
        <v>18.198812628229668</v>
      </c>
      <c r="N48" s="44">
        <f t="shared" si="6"/>
        <v>1.4739867555150816</v>
      </c>
      <c r="O48" s="48">
        <f t="shared" si="7"/>
        <v>19.672799383744749</v>
      </c>
      <c r="R48" s="48">
        <f t="shared" si="17"/>
        <v>3.1761746871325158E-2</v>
      </c>
      <c r="S48" s="48">
        <f t="shared" si="8"/>
        <v>0.33013201219724631</v>
      </c>
      <c r="T48" s="48">
        <f t="shared" si="9"/>
        <v>999.63810624093139</v>
      </c>
      <c r="V48" s="48">
        <f t="shared" si="10"/>
        <v>0.36189375906857146</v>
      </c>
      <c r="W48" s="48">
        <f t="shared" si="11"/>
        <v>0.27777266867569361</v>
      </c>
      <c r="X48" s="48">
        <f t="shared" si="12"/>
        <v>2.9541251313753424E-2</v>
      </c>
      <c r="Y48" s="48">
        <f t="shared" si="13"/>
        <v>2.2674478373322281E-2</v>
      </c>
      <c r="AA48" s="48">
        <f>(R48*(cAsymp+cDrug)+'Markov Model'!S48*cProg)/((1+cDR)^ncycle)</f>
        <v>84.734704781206148</v>
      </c>
      <c r="AB48" s="44">
        <f t="shared" si="14"/>
        <v>6.3197692084267922</v>
      </c>
      <c r="AC48" s="48">
        <f t="shared" si="15"/>
        <v>91.054473989632939</v>
      </c>
    </row>
    <row r="49" spans="1:29" x14ac:dyDescent="0.2">
      <c r="A49">
        <v>44</v>
      </c>
      <c r="B49" s="44">
        <v>0.1958</v>
      </c>
      <c r="C49" s="55"/>
      <c r="D49" s="48">
        <f t="shared" si="16"/>
        <v>5.4367285429179901E-6</v>
      </c>
      <c r="E49" s="48">
        <f t="shared" si="0"/>
        <v>4.862153635528358E-2</v>
      </c>
      <c r="F49" s="48">
        <f t="shared" si="1"/>
        <v>999.95137302691614</v>
      </c>
      <c r="H49" s="48">
        <f t="shared" si="2"/>
        <v>4.8626973083826498E-2</v>
      </c>
      <c r="I49" s="48">
        <f t="shared" si="3"/>
        <v>3.6471317158578459E-2</v>
      </c>
      <c r="J49" s="48">
        <f t="shared" si="4"/>
        <v>3.744718402506314E-3</v>
      </c>
      <c r="K49" s="48">
        <f t="shared" si="5"/>
        <v>2.8086225373711018E-3</v>
      </c>
      <c r="L49" s="44"/>
      <c r="M49" s="48">
        <f>(D49*cAsymp+'Markov Model'!E49*cProg)/((1+cDR)^ncycle)</f>
        <v>11.233108513876866</v>
      </c>
      <c r="N49" s="44">
        <f t="shared" si="6"/>
        <v>0.90991016751105247</v>
      </c>
      <c r="O49" s="48">
        <f t="shared" si="7"/>
        <v>12.143018681387918</v>
      </c>
      <c r="R49" s="48">
        <f t="shared" si="17"/>
        <v>1.855521252230119E-2</v>
      </c>
      <c r="S49" s="48">
        <f t="shared" si="8"/>
        <v>0.22295994669113006</v>
      </c>
      <c r="T49" s="48">
        <f t="shared" si="9"/>
        <v>999.75848484078654</v>
      </c>
      <c r="V49" s="48">
        <f t="shared" si="10"/>
        <v>0.24151515921343125</v>
      </c>
      <c r="W49" s="48">
        <f t="shared" si="11"/>
        <v>0.18484741191453369</v>
      </c>
      <c r="X49" s="48">
        <f t="shared" si="12"/>
        <v>1.8598859929687604E-2</v>
      </c>
      <c r="Y49" s="48">
        <f t="shared" si="13"/>
        <v>1.4234928911959108E-2</v>
      </c>
      <c r="AA49" s="48">
        <f>(R49*(cAsymp+cDrug)+'Markov Model'!S49*cProg)/((1+cDR)^ncycle)</f>
        <v>53.653200053862278</v>
      </c>
      <c r="AB49" s="44">
        <f t="shared" si="14"/>
        <v>4.042282781057601</v>
      </c>
      <c r="AC49" s="48">
        <f t="shared" si="15"/>
        <v>57.695482834919879</v>
      </c>
    </row>
    <row r="50" spans="1:29" x14ac:dyDescent="0.2">
      <c r="A50">
        <v>45</v>
      </c>
      <c r="B50" s="44">
        <v>0.1958</v>
      </c>
      <c r="C50" s="55"/>
      <c r="D50" s="48">
        <f t="shared" si="16"/>
        <v>1.9256892755947774E-6</v>
      </c>
      <c r="E50" s="48">
        <f t="shared" si="0"/>
        <v>3.1810655611470832E-2</v>
      </c>
      <c r="F50" s="48">
        <f t="shared" si="1"/>
        <v>999.96818741869924</v>
      </c>
      <c r="H50" s="48">
        <f t="shared" si="2"/>
        <v>3.1812581300746427E-2</v>
      </c>
      <c r="I50" s="48">
        <f t="shared" si="3"/>
        <v>2.3859821113414937E-2</v>
      </c>
      <c r="J50" s="48">
        <f t="shared" si="4"/>
        <v>2.3111863967359755E-3</v>
      </c>
      <c r="K50" s="48">
        <f t="shared" si="5"/>
        <v>1.7334177778457903E-3</v>
      </c>
      <c r="L50" s="44"/>
      <c r="M50" s="48">
        <f>(D50*cAsymp+'Markov Model'!E50*cProg)/((1+cDR)^ncycle)</f>
        <v>6.9332094365353125</v>
      </c>
      <c r="N50" s="44">
        <f t="shared" si="6"/>
        <v>0.56164495875742249</v>
      </c>
      <c r="O50" s="48">
        <f t="shared" si="7"/>
        <v>7.4948543952927347</v>
      </c>
      <c r="R50" s="48">
        <f t="shared" si="17"/>
        <v>1.0747179092959414E-2</v>
      </c>
      <c r="S50" s="48">
        <f t="shared" si="8"/>
        <v>0.15003531994285507</v>
      </c>
      <c r="T50" s="48">
        <f t="shared" si="9"/>
        <v>999.8392175009642</v>
      </c>
      <c r="V50" s="48">
        <f t="shared" si="10"/>
        <v>0.16078249903581449</v>
      </c>
      <c r="W50" s="48">
        <f t="shared" si="11"/>
        <v>0.12273631009545274</v>
      </c>
      <c r="X50" s="48">
        <f t="shared" si="12"/>
        <v>1.1680860508985815E-2</v>
      </c>
      <c r="Y50" s="48">
        <f t="shared" si="13"/>
        <v>8.9168020537686767E-3</v>
      </c>
      <c r="AA50" s="48">
        <f>(R50*(cAsymp+cDrug)+'Markov Model'!S50*cProg)/((1+cDR)^ncycle)</f>
        <v>33.87140648673757</v>
      </c>
      <c r="AB50" s="44">
        <f t="shared" si="14"/>
        <v>2.5754910159330877</v>
      </c>
      <c r="AC50" s="48">
        <f t="shared" si="15"/>
        <v>36.446897502670659</v>
      </c>
    </row>
    <row r="51" spans="1:29" x14ac:dyDescent="0.2">
      <c r="B51" s="44">
        <v>0.1958</v>
      </c>
    </row>
    <row r="52" spans="1:29" x14ac:dyDescent="0.2">
      <c r="G52" t="s">
        <v>50</v>
      </c>
      <c r="H52" s="6">
        <f>SUM(H5:H50)</f>
        <v>13693.245079326403</v>
      </c>
      <c r="I52" s="6">
        <f>SUM(I6:I50)</f>
        <v>12202.612124349125</v>
      </c>
      <c r="J52" s="6">
        <f>SUM(J5:J50)</f>
        <v>8560.1724481610272</v>
      </c>
      <c r="K52" s="6">
        <f>SUM(K5:K50)</f>
        <v>7755.9516801447353</v>
      </c>
      <c r="M52">
        <f>SUM(M5:M50)</f>
        <v>8982738.0441834945</v>
      </c>
      <c r="N52" s="6">
        <f>SUM(N5:N50)</f>
        <v>282158.76254920464</v>
      </c>
      <c r="O52">
        <f>SUM(O5:O50)</f>
        <v>9264896.806732703</v>
      </c>
      <c r="U52" t="s">
        <v>50</v>
      </c>
      <c r="V52" s="6">
        <f>SUM(V5:V50)</f>
        <v>15860.229143787126</v>
      </c>
      <c r="W52" s="6">
        <f>SUM(W6:W50)</f>
        <v>14446.439325758052</v>
      </c>
      <c r="X52" s="6">
        <f>SUM(X5:X50)</f>
        <v>9350.4181283309372</v>
      </c>
      <c r="Y52" s="6">
        <f>SUM(Y5:Y50)</f>
        <v>8624.7378423777318</v>
      </c>
      <c r="AA52">
        <f>SUM(AA5:AA50)</f>
        <v>15961822.539021384</v>
      </c>
      <c r="AB52" s="6">
        <f>SUM(AB5:AB50)</f>
        <v>193617.89964092497</v>
      </c>
      <c r="AC52">
        <f>SUM(AC5:AC50)</f>
        <v>16155440.438662307</v>
      </c>
    </row>
    <row r="53" spans="1:29" x14ac:dyDescent="0.2">
      <c r="G53" t="s">
        <v>51</v>
      </c>
      <c r="H53" s="8">
        <f>H52/1000</f>
        <v>13.693245079326404</v>
      </c>
      <c r="I53" s="8">
        <f t="shared" ref="I53:O53" si="18">I52/1000</f>
        <v>12.202612124349125</v>
      </c>
      <c r="J53" s="8">
        <f t="shared" si="18"/>
        <v>8.560172448161028</v>
      </c>
      <c r="K53" s="8">
        <f t="shared" si="18"/>
        <v>7.7559516801447357</v>
      </c>
      <c r="L53" s="6"/>
      <c r="M53" s="6">
        <f t="shared" si="18"/>
        <v>8982.7380441834939</v>
      </c>
      <c r="N53" s="6">
        <f t="shared" si="18"/>
        <v>282.15876254920465</v>
      </c>
      <c r="O53" s="6">
        <f t="shared" si="18"/>
        <v>9264.8968067327023</v>
      </c>
      <c r="U53" t="s">
        <v>51</v>
      </c>
      <c r="V53" s="8">
        <f>V52/1000</f>
        <v>15.860229143787127</v>
      </c>
      <c r="W53" s="8">
        <f>W52/1000</f>
        <v>14.446439325758051</v>
      </c>
      <c r="X53" s="8">
        <f>X52/1000</f>
        <v>9.3504181283309364</v>
      </c>
      <c r="Y53" s="8">
        <f>Y52/1000</f>
        <v>8.6247378423777317</v>
      </c>
      <c r="Z53" s="6"/>
      <c r="AA53" s="6">
        <f>AA52/1000</f>
        <v>15961.822539021385</v>
      </c>
      <c r="AB53" s="6">
        <f>AB52/1000</f>
        <v>193.61789964092497</v>
      </c>
      <c r="AC53" s="6">
        <f>AC52/1000</f>
        <v>16155.440438662308</v>
      </c>
    </row>
    <row r="59" spans="1:29" x14ac:dyDescent="0.2">
      <c r="A59" t="s">
        <v>29</v>
      </c>
      <c r="B59" t="s">
        <v>30</v>
      </c>
      <c r="C59" t="s">
        <v>31</v>
      </c>
    </row>
    <row r="60" spans="1:29" x14ac:dyDescent="0.2">
      <c r="A60" t="s">
        <v>52</v>
      </c>
      <c r="B60" s="5">
        <f>O53</f>
        <v>9264.8968067327023</v>
      </c>
      <c r="C60" s="8">
        <f>K53</f>
        <v>7.7559516801447357</v>
      </c>
    </row>
    <row r="61" spans="1:29" x14ac:dyDescent="0.2">
      <c r="A61" t="s">
        <v>53</v>
      </c>
      <c r="B61" s="5">
        <f>AC53</f>
        <v>16155.440438662308</v>
      </c>
      <c r="C61" s="8">
        <f>Y53</f>
        <v>8.6247378423777317</v>
      </c>
    </row>
    <row r="62" spans="1:29" x14ac:dyDescent="0.2">
      <c r="A62" t="s">
        <v>55</v>
      </c>
      <c r="B62" s="5">
        <f>B61-B60</f>
        <v>6890.5436319296059</v>
      </c>
      <c r="C62" s="8">
        <f>C61-C60</f>
        <v>0.86878616223299598</v>
      </c>
    </row>
    <row r="63" spans="1:29" x14ac:dyDescent="0.2">
      <c r="A63" t="s">
        <v>54</v>
      </c>
      <c r="B63" s="5">
        <f>B62/C62</f>
        <v>7931.2308729908855</v>
      </c>
    </row>
    <row r="69" spans="1:9" x14ac:dyDescent="0.2">
      <c r="A69">
        <v>1</v>
      </c>
      <c r="B69">
        <v>500</v>
      </c>
      <c r="C69">
        <v>0.95</v>
      </c>
      <c r="D69" s="6">
        <f t="shared" ref="D69:D89" si="19">B69/(1+oDR)^A69</f>
        <v>471.69811320754712</v>
      </c>
      <c r="E69" s="8">
        <f t="shared" ref="E69:E88" si="20">C69/(1+oDR)^A69</f>
        <v>0.89622641509433953</v>
      </c>
      <c r="F69">
        <v>500</v>
      </c>
      <c r="G69">
        <v>0.95</v>
      </c>
      <c r="H69" s="6">
        <f t="shared" ref="H69:H75" si="21">F69/(1+cDR)^A69</f>
        <v>471.69811320754712</v>
      </c>
      <c r="I69" s="8">
        <f t="shared" ref="I69:I74" si="22">G69/(1+oDR)^A69</f>
        <v>0.89622641509433953</v>
      </c>
    </row>
    <row r="70" spans="1:9" x14ac:dyDescent="0.2">
      <c r="A70">
        <v>2</v>
      </c>
      <c r="B70">
        <v>500</v>
      </c>
      <c r="C70">
        <v>0.95</v>
      </c>
      <c r="D70" s="6">
        <f t="shared" si="19"/>
        <v>444.99822000711993</v>
      </c>
      <c r="E70" s="8">
        <f t="shared" si="20"/>
        <v>0.84549661801352782</v>
      </c>
      <c r="F70">
        <v>500</v>
      </c>
      <c r="G70">
        <v>0.95</v>
      </c>
      <c r="H70" s="6">
        <f t="shared" si="21"/>
        <v>444.99822000711993</v>
      </c>
      <c r="I70" s="8">
        <f t="shared" si="22"/>
        <v>0.84549661801352782</v>
      </c>
    </row>
    <row r="71" spans="1:9" x14ac:dyDescent="0.2">
      <c r="A71">
        <v>3</v>
      </c>
      <c r="B71">
        <v>500</v>
      </c>
      <c r="C71">
        <v>0.95</v>
      </c>
      <c r="D71" s="6">
        <f t="shared" si="19"/>
        <v>419.8096415161508</v>
      </c>
      <c r="E71" s="8">
        <f t="shared" si="20"/>
        <v>0.79763831888068648</v>
      </c>
      <c r="F71">
        <v>500</v>
      </c>
      <c r="G71">
        <v>0.95</v>
      </c>
      <c r="H71" s="6">
        <f t="shared" si="21"/>
        <v>419.8096415161508</v>
      </c>
      <c r="I71" s="8">
        <f t="shared" si="22"/>
        <v>0.79763831888068648</v>
      </c>
    </row>
    <row r="72" spans="1:9" x14ac:dyDescent="0.2">
      <c r="A72">
        <v>4</v>
      </c>
      <c r="B72">
        <v>500</v>
      </c>
      <c r="C72">
        <v>0.95</v>
      </c>
      <c r="D72" s="6">
        <f t="shared" si="19"/>
        <v>396.04683161901022</v>
      </c>
      <c r="E72" s="8">
        <f t="shared" si="20"/>
        <v>0.75248898007611931</v>
      </c>
      <c r="F72">
        <v>500</v>
      </c>
      <c r="G72">
        <v>0.95</v>
      </c>
      <c r="H72" s="6">
        <f t="shared" si="21"/>
        <v>396.04683161901022</v>
      </c>
      <c r="I72" s="8">
        <f t="shared" si="22"/>
        <v>0.75248898007611931</v>
      </c>
    </row>
    <row r="73" spans="1:9" x14ac:dyDescent="0.2">
      <c r="A73">
        <v>5</v>
      </c>
      <c r="B73">
        <v>500</v>
      </c>
      <c r="C73">
        <v>0.95</v>
      </c>
      <c r="D73" s="6">
        <f t="shared" si="19"/>
        <v>373.62908643302842</v>
      </c>
      <c r="E73" s="8">
        <f t="shared" si="20"/>
        <v>0.70989526422275406</v>
      </c>
      <c r="F73">
        <v>500</v>
      </c>
      <c r="G73">
        <v>0.95</v>
      </c>
      <c r="H73" s="6">
        <f t="shared" si="21"/>
        <v>373.62908643302842</v>
      </c>
      <c r="I73" s="8">
        <f t="shared" si="22"/>
        <v>0.70989526422275406</v>
      </c>
    </row>
    <row r="74" spans="1:9" x14ac:dyDescent="0.2">
      <c r="A74">
        <v>6</v>
      </c>
      <c r="B74">
        <v>500</v>
      </c>
      <c r="C74">
        <v>0.95</v>
      </c>
      <c r="D74" s="6">
        <f t="shared" si="19"/>
        <v>352.48027021983813</v>
      </c>
      <c r="E74" s="8">
        <f t="shared" si="20"/>
        <v>0.66971251341769245</v>
      </c>
      <c r="F74">
        <v>3000</v>
      </c>
      <c r="G74">
        <v>0.75</v>
      </c>
      <c r="H74" s="6">
        <f t="shared" si="21"/>
        <v>2114.8816213190289</v>
      </c>
      <c r="I74" s="8">
        <f t="shared" si="22"/>
        <v>0.52872040532975717</v>
      </c>
    </row>
    <row r="75" spans="1:9" x14ac:dyDescent="0.2">
      <c r="A75">
        <v>7</v>
      </c>
      <c r="B75">
        <v>500</v>
      </c>
      <c r="C75">
        <v>0.95</v>
      </c>
      <c r="D75" s="6">
        <f t="shared" si="19"/>
        <v>332.52855681116802</v>
      </c>
      <c r="E75" s="8">
        <f t="shared" si="20"/>
        <v>0.63180425794121919</v>
      </c>
      <c r="F75">
        <v>1000</v>
      </c>
      <c r="H75" s="6">
        <f t="shared" si="21"/>
        <v>665.05711362233603</v>
      </c>
    </row>
    <row r="76" spans="1:9" x14ac:dyDescent="0.2">
      <c r="A76">
        <v>8</v>
      </c>
      <c r="B76">
        <v>500</v>
      </c>
      <c r="C76">
        <v>0.95</v>
      </c>
      <c r="D76" s="6">
        <f t="shared" si="19"/>
        <v>313.70618567091327</v>
      </c>
      <c r="E76" s="8">
        <f t="shared" si="20"/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 x14ac:dyDescent="0.2">
      <c r="A77">
        <v>9</v>
      </c>
      <c r="B77">
        <v>500</v>
      </c>
      <c r="C77">
        <v>0.95</v>
      </c>
      <c r="D77" s="6">
        <f t="shared" si="19"/>
        <v>295.94923176501248</v>
      </c>
      <c r="E77" s="8">
        <f t="shared" si="20"/>
        <v>0.5623035403535237</v>
      </c>
    </row>
    <row r="78" spans="1:9" x14ac:dyDescent="0.2">
      <c r="A78">
        <v>10</v>
      </c>
      <c r="B78">
        <v>500</v>
      </c>
      <c r="C78">
        <v>0.95</v>
      </c>
      <c r="D78" s="6">
        <f t="shared" si="19"/>
        <v>279.19738845755893</v>
      </c>
      <c r="E78" s="8">
        <f t="shared" si="20"/>
        <v>0.53047503806936191</v>
      </c>
    </row>
    <row r="79" spans="1:9" x14ac:dyDescent="0.2">
      <c r="A79">
        <v>11</v>
      </c>
      <c r="B79">
        <v>500</v>
      </c>
      <c r="C79">
        <v>0.95</v>
      </c>
      <c r="D79" s="6">
        <f t="shared" si="19"/>
        <v>263.39376269581027</v>
      </c>
      <c r="E79" s="8">
        <f t="shared" si="20"/>
        <v>0.5004481491220395</v>
      </c>
    </row>
    <row r="80" spans="1:9" x14ac:dyDescent="0.2">
      <c r="A80">
        <v>12</v>
      </c>
      <c r="B80">
        <v>500</v>
      </c>
      <c r="C80">
        <v>0.95</v>
      </c>
      <c r="D80" s="6">
        <f t="shared" si="19"/>
        <v>248.48468178850024</v>
      </c>
      <c r="E80" s="8">
        <f t="shared" si="20"/>
        <v>0.47212089539815044</v>
      </c>
    </row>
    <row r="81" spans="1:5" x14ac:dyDescent="0.2">
      <c r="A81">
        <v>13</v>
      </c>
      <c r="B81">
        <v>500</v>
      </c>
      <c r="C81">
        <v>0.95</v>
      </c>
      <c r="D81" s="6">
        <f t="shared" si="19"/>
        <v>234.41951112122663</v>
      </c>
      <c r="E81" s="8">
        <f t="shared" si="20"/>
        <v>0.44539707113033056</v>
      </c>
    </row>
    <row r="82" spans="1:5" x14ac:dyDescent="0.2">
      <c r="A82">
        <v>14</v>
      </c>
      <c r="B82">
        <v>500</v>
      </c>
      <c r="C82">
        <v>0.95</v>
      </c>
      <c r="D82" s="6">
        <f t="shared" si="19"/>
        <v>221.15048218983645</v>
      </c>
      <c r="E82" s="8">
        <f t="shared" si="20"/>
        <v>0.42018591616068923</v>
      </c>
    </row>
    <row r="83" spans="1:5" x14ac:dyDescent="0.2">
      <c r="A83">
        <v>15</v>
      </c>
      <c r="B83">
        <v>500</v>
      </c>
      <c r="C83">
        <v>0.75</v>
      </c>
      <c r="D83" s="6">
        <f t="shared" si="19"/>
        <v>208.63253036777019</v>
      </c>
      <c r="E83" s="8">
        <f t="shared" si="20"/>
        <v>0.31294879555165528</v>
      </c>
    </row>
    <row r="84" spans="1:5" x14ac:dyDescent="0.2">
      <c r="A84">
        <v>16</v>
      </c>
      <c r="B84">
        <v>3000</v>
      </c>
      <c r="C84">
        <v>0.75</v>
      </c>
      <c r="D84" s="6">
        <f t="shared" si="19"/>
        <v>1180.938851138322</v>
      </c>
      <c r="E84" s="8">
        <f t="shared" si="20"/>
        <v>0.29523471278458052</v>
      </c>
    </row>
    <row r="85" spans="1:5" x14ac:dyDescent="0.2">
      <c r="A85">
        <v>17</v>
      </c>
      <c r="B85">
        <v>3000</v>
      </c>
      <c r="C85">
        <v>0.75</v>
      </c>
      <c r="D85" s="6">
        <f t="shared" si="19"/>
        <v>1114.0932557908698</v>
      </c>
      <c r="E85" s="8">
        <f t="shared" si="20"/>
        <v>0.27852331394771745</v>
      </c>
    </row>
    <row r="86" spans="1:5" x14ac:dyDescent="0.2">
      <c r="A86">
        <v>18</v>
      </c>
      <c r="B86">
        <v>3000</v>
      </c>
      <c r="C86">
        <v>0.75</v>
      </c>
      <c r="D86" s="6">
        <f t="shared" si="19"/>
        <v>1051.031373387613</v>
      </c>
      <c r="E86" s="8">
        <f t="shared" si="20"/>
        <v>0.26275784334690322</v>
      </c>
    </row>
    <row r="87" spans="1:5" x14ac:dyDescent="0.2">
      <c r="A87">
        <v>19</v>
      </c>
      <c r="B87">
        <v>3000</v>
      </c>
      <c r="C87">
        <v>0.75</v>
      </c>
      <c r="D87" s="6">
        <f t="shared" si="19"/>
        <v>991.53903149774794</v>
      </c>
      <c r="E87" s="8">
        <f t="shared" si="20"/>
        <v>0.24788475787443701</v>
      </c>
    </row>
    <row r="88" spans="1:5" x14ac:dyDescent="0.2">
      <c r="A88">
        <v>20</v>
      </c>
      <c r="B88">
        <v>3000</v>
      </c>
      <c r="C88">
        <v>0.75</v>
      </c>
      <c r="D88" s="6">
        <f t="shared" si="19"/>
        <v>935.4141806582528</v>
      </c>
      <c r="E88" s="8">
        <f t="shared" si="20"/>
        <v>0.23385354516456322</v>
      </c>
    </row>
    <row r="89" spans="1:5" x14ac:dyDescent="0.2">
      <c r="A89">
        <v>21</v>
      </c>
      <c r="B89">
        <v>1000</v>
      </c>
      <c r="D89" s="6">
        <f t="shared" si="19"/>
        <v>294.15540272272096</v>
      </c>
      <c r="E89" s="6"/>
    </row>
    <row r="90" spans="1:5" x14ac:dyDescent="0.2">
      <c r="D90" s="56">
        <f>SUM(D69:D89)</f>
        <v>10423.296589066018</v>
      </c>
      <c r="E90" s="57">
        <f>SUM(E69:E89)</f>
        <v>10.461437699325028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82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84</v>
      </c>
      <c r="E3" s="20" t="s">
        <v>62</v>
      </c>
      <c r="F3" s="20" t="s">
        <v>64</v>
      </c>
      <c r="G3" s="20" t="s">
        <v>66</v>
      </c>
      <c r="H3" s="20" t="s">
        <v>67</v>
      </c>
      <c r="I3" s="20" t="s">
        <v>68</v>
      </c>
      <c r="J3" s="20" t="s">
        <v>69</v>
      </c>
      <c r="K3" s="20" t="s">
        <v>70</v>
      </c>
      <c r="L3" s="20" t="s">
        <v>71</v>
      </c>
      <c r="M3" s="20" t="s">
        <v>72</v>
      </c>
      <c r="N3" s="20" t="s">
        <v>73</v>
      </c>
      <c r="O3" s="20" t="s">
        <v>74</v>
      </c>
      <c r="P3" s="20" t="s">
        <v>75</v>
      </c>
      <c r="Q3" s="20" t="s">
        <v>76</v>
      </c>
      <c r="R3" s="20" t="s">
        <v>77</v>
      </c>
      <c r="S3" s="20" t="s">
        <v>78</v>
      </c>
      <c r="T3" s="20" t="s">
        <v>79</v>
      </c>
      <c r="U3" s="20" t="s">
        <v>80</v>
      </c>
      <c r="V3" s="20" t="s">
        <v>81</v>
      </c>
      <c r="W3" s="20" t="s">
        <v>91</v>
      </c>
      <c r="X3" s="20" t="s">
        <v>92</v>
      </c>
    </row>
    <row r="4" spans="2:24" ht="67.5" hidden="1" outlineLevel="1" x14ac:dyDescent="0.2">
      <c r="B4" s="16"/>
      <c r="C4" s="16"/>
      <c r="D4" s="11"/>
      <c r="E4" s="23" t="s">
        <v>63</v>
      </c>
      <c r="F4" s="23" t="s">
        <v>65</v>
      </c>
      <c r="G4" s="23" t="s">
        <v>63</v>
      </c>
      <c r="H4" s="23" t="s">
        <v>65</v>
      </c>
      <c r="I4" s="23" t="s">
        <v>63</v>
      </c>
      <c r="J4" s="23" t="s">
        <v>63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 t="s">
        <v>65</v>
      </c>
      <c r="R4" s="23" t="s">
        <v>65</v>
      </c>
      <c r="S4" s="23" t="s">
        <v>63</v>
      </c>
      <c r="T4" s="23" t="s">
        <v>65</v>
      </c>
      <c r="U4" s="23" t="s">
        <v>65</v>
      </c>
      <c r="V4" s="23" t="s">
        <v>65</v>
      </c>
      <c r="W4" s="23" t="s">
        <v>65</v>
      </c>
      <c r="X4" s="23" t="s">
        <v>65</v>
      </c>
    </row>
    <row r="5" spans="2:24" x14ac:dyDescent="0.2">
      <c r="B5" s="17" t="s">
        <v>83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85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89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90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86</v>
      </c>
    </row>
    <row r="20" spans="2:24" x14ac:dyDescent="0.2">
      <c r="B20" t="s">
        <v>87</v>
      </c>
    </row>
    <row r="21" spans="2:24" x14ac:dyDescent="0.2">
      <c r="B21" t="s">
        <v>88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32" sqref="N32"/>
    </sheetView>
  </sheetViews>
  <sheetFormatPr defaultRowHeight="12.75" x14ac:dyDescent="0.2"/>
  <sheetData>
    <row r="1" spans="1:1" ht="15.75" x14ac:dyDescent="0.25">
      <c r="A1" s="41" t="s">
        <v>132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Introduction</vt:lpstr>
      <vt:lpstr>Parameters and Analysis</vt:lpstr>
      <vt:lpstr>Markov Model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ncycle</vt:lpstr>
      <vt:lpstr>oDR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</cp:lastModifiedBy>
  <cp:lastPrinted>1999-09-02T12:09:59Z</cp:lastPrinted>
  <dcterms:created xsi:type="dcterms:W3CDTF">1997-05-02T12:23:35Z</dcterms:created>
  <dcterms:modified xsi:type="dcterms:W3CDTF">2022-08-02T14:26:16Z</dcterms:modified>
</cp:coreProperties>
</file>